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Years\2026\3-Enero-26\"/>
    </mc:Choice>
  </mc:AlternateContent>
  <xr:revisionPtr revIDLastSave="0" documentId="13_ncr:1_{21C3D341-3CA0-4988-94AA-A1896E4142ED}" xr6:coauthVersionLast="47" xr6:coauthVersionMax="47" xr10:uidLastSave="{00000000-0000-0000-0000-000000000000}"/>
  <bookViews>
    <workbookView xWindow="-120" yWindow="-120" windowWidth="21840" windowHeight="13020" firstSheet="1" activeTab="1" xr2:uid="{69C36F15-1D25-4266-AB2E-CE7C35D4FCF9}"/>
  </bookViews>
  <sheets>
    <sheet name="DevelupeMode" sheetId="12" r:id="rId1"/>
    <sheet name="Tradicional" sheetId="1" r:id="rId2"/>
    <sheet name="Hoja1" sheetId="13" r:id="rId3"/>
    <sheet name="Report" sheetId="5" r:id="rId4"/>
    <sheet name="Verano HO" sheetId="9" state="hidden" r:id="rId5"/>
    <sheet name="Cursos" sheetId="3" state="hidden" r:id="rId6"/>
    <sheet name="Curso Regular" sheetId="8" r:id="rId7"/>
    <sheet name="Curso Verano" sheetId="4" r:id="rId8"/>
  </sheets>
  <definedNames>
    <definedName name="_xlnm._FilterDatabase" localSheetId="5" hidden="1">Cursos!$B$39:$S$80</definedName>
    <definedName name="_xlnm._FilterDatabase" localSheetId="1" hidden="1">Tradicional!$C$17:$AN$162</definedName>
    <definedName name="_xlcn.WorksheetConnection_RegistrodepagosEnero2025.xlsxTabla21" hidden="1">Tabla2[]</definedName>
    <definedName name="_xlnm.Print_Area" localSheetId="3">Report!$D$1:$M$29</definedName>
    <definedName name="SegmentaciónDeDatos__DE_RECIBO">#N/A</definedName>
    <definedName name="SegmentaciónDeDatos_Completo">#N/A</definedName>
    <definedName name="SegmentaciónDeDatos_CURSO">#N/A</definedName>
    <definedName name="SegmentaciónDeDatos_Das">#N/A</definedName>
    <definedName name="SegmentaciónDeDatos_MÉTODO">#N/A</definedName>
    <definedName name="SegmentaciónDeDatos_PROFESOR">#N/A</definedName>
    <definedName name="SegmentaciónDeDatos_SITUACIÓN">#N/A</definedName>
    <definedName name="SegmentaciónDeDatos_Yapa">#N/A</definedName>
  </definedNames>
  <calcPr calcId="191029"/>
  <pivotCaches>
    <pivotCache cacheId="0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" name="Tabla2" connection="WorksheetConnection_Registro de pagos Enero 2025.xlsx!Tabla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8" i="5" l="1"/>
  <c r="E19" i="5"/>
  <c r="E20" i="5"/>
  <c r="E21" i="5"/>
  <c r="E22" i="5"/>
  <c r="B9" i="5" a="1"/>
  <c r="E17" i="5" s="1"/>
  <c r="AL55" i="1"/>
  <c r="AD55" i="1"/>
  <c r="J55" i="1" s="1"/>
  <c r="O55" i="1"/>
  <c r="H55" i="1"/>
  <c r="E55" i="1"/>
  <c r="AL158" i="1"/>
  <c r="AL159" i="1"/>
  <c r="E159" i="1"/>
  <c r="H159" i="1"/>
  <c r="O159" i="1"/>
  <c r="AD159" i="1"/>
  <c r="J159" i="1" s="1"/>
  <c r="E158" i="1"/>
  <c r="H158" i="1"/>
  <c r="O158" i="1"/>
  <c r="AD158" i="1"/>
  <c r="J158" i="1" s="1"/>
  <c r="AL44" i="1"/>
  <c r="E44" i="1"/>
  <c r="H44" i="1"/>
  <c r="O44" i="1"/>
  <c r="AD44" i="1"/>
  <c r="J44" i="1" s="1"/>
  <c r="E70" i="1"/>
  <c r="H70" i="1"/>
  <c r="AD70" i="1"/>
  <c r="J70" i="1" s="1"/>
  <c r="E71" i="1"/>
  <c r="H71" i="1"/>
  <c r="AD71" i="1"/>
  <c r="J71" i="1" s="1"/>
  <c r="AL71" i="1"/>
  <c r="F9" i="13"/>
  <c r="F10" i="13"/>
  <c r="B9" i="5" l="1"/>
  <c r="E9" i="5" s="1"/>
  <c r="E10" i="5"/>
  <c r="E12" i="5"/>
  <c r="E14" i="5"/>
  <c r="E16" i="5"/>
  <c r="E11" i="5"/>
  <c r="E13" i="5"/>
  <c r="E15" i="5"/>
  <c r="AL149" i="1"/>
  <c r="AL154" i="1"/>
  <c r="AL155" i="1"/>
  <c r="AL156" i="1"/>
  <c r="AL161" i="1"/>
  <c r="AL157" i="1"/>
  <c r="AL162" i="1"/>
  <c r="AL160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5" i="1"/>
  <c r="AL46" i="1"/>
  <c r="AL47" i="1"/>
  <c r="AL48" i="1"/>
  <c r="AL49" i="1"/>
  <c r="AL50" i="1"/>
  <c r="AL51" i="1"/>
  <c r="AL52" i="1"/>
  <c r="AL53" i="1"/>
  <c r="AL54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82" i="1"/>
  <c r="AL83" i="1"/>
  <c r="AL72" i="1"/>
  <c r="AL86" i="1"/>
  <c r="AL74" i="1"/>
  <c r="AL75" i="1"/>
  <c r="AL76" i="1"/>
  <c r="AL77" i="1"/>
  <c r="AL78" i="1"/>
  <c r="AL79" i="1"/>
  <c r="AL89" i="1"/>
  <c r="AL81" i="1"/>
  <c r="AL92" i="1"/>
  <c r="AL93" i="1"/>
  <c r="AL84" i="1"/>
  <c r="AL85" i="1"/>
  <c r="AL94" i="1"/>
  <c r="AL87" i="1"/>
  <c r="AL88" i="1"/>
  <c r="AL95" i="1"/>
  <c r="AL90" i="1"/>
  <c r="AL91" i="1"/>
  <c r="AL99" i="1"/>
  <c r="AL106" i="1"/>
  <c r="AL97" i="1"/>
  <c r="AL108" i="1"/>
  <c r="AL96" i="1"/>
  <c r="AL109" i="1"/>
  <c r="AL98" i="1"/>
  <c r="AL110" i="1"/>
  <c r="AL100" i="1"/>
  <c r="AL101" i="1"/>
  <c r="AL102" i="1"/>
  <c r="AL103" i="1"/>
  <c r="AL104" i="1"/>
  <c r="AL105" i="1"/>
  <c r="AL116" i="1"/>
  <c r="AL107" i="1"/>
  <c r="AL117" i="1"/>
  <c r="AL124" i="1"/>
  <c r="AL132" i="1"/>
  <c r="AL111" i="1"/>
  <c r="AL112" i="1"/>
  <c r="AL113" i="1"/>
  <c r="AL114" i="1"/>
  <c r="AL115" i="1"/>
  <c r="AL134" i="1"/>
  <c r="AL135" i="1"/>
  <c r="AL118" i="1"/>
  <c r="AL119" i="1"/>
  <c r="AL120" i="1"/>
  <c r="AL121" i="1"/>
  <c r="AL122" i="1"/>
  <c r="AL123" i="1"/>
  <c r="AL144" i="1"/>
  <c r="AL125" i="1"/>
  <c r="AL126" i="1"/>
  <c r="AL127" i="1"/>
  <c r="AL128" i="1"/>
  <c r="AL129" i="1"/>
  <c r="AL130" i="1"/>
  <c r="AL131" i="1"/>
  <c r="AL150" i="1"/>
  <c r="AL133" i="1"/>
  <c r="AL151" i="1"/>
  <c r="AL152" i="1"/>
  <c r="AL136" i="1"/>
  <c r="AL137" i="1"/>
  <c r="AL138" i="1"/>
  <c r="AL139" i="1"/>
  <c r="AL140" i="1"/>
  <c r="AL141" i="1"/>
  <c r="AL142" i="1"/>
  <c r="AL143" i="1"/>
  <c r="AL153" i="1"/>
  <c r="AL145" i="1"/>
  <c r="AL146" i="1"/>
  <c r="AL147" i="1"/>
  <c r="AL148" i="1"/>
  <c r="AL18" i="1"/>
  <c r="E149" i="1"/>
  <c r="H149" i="1"/>
  <c r="O149" i="1"/>
  <c r="AD149" i="1"/>
  <c r="J149" i="1" s="1"/>
  <c r="E92" i="1" l="1"/>
  <c r="H92" i="1"/>
  <c r="O92" i="1"/>
  <c r="AD92" i="1"/>
  <c r="J92" i="1" s="1"/>
  <c r="AD152" i="1"/>
  <c r="O152" i="1"/>
  <c r="J152" i="1"/>
  <c r="H152" i="1"/>
  <c r="AD151" i="1"/>
  <c r="O151" i="1"/>
  <c r="J151" i="1"/>
  <c r="H151" i="1"/>
  <c r="E151" i="1"/>
  <c r="E152" i="1"/>
  <c r="E124" i="1"/>
  <c r="H124" i="1"/>
  <c r="O124" i="1"/>
  <c r="AD124" i="1"/>
  <c r="J124" i="1" s="1"/>
  <c r="F4" i="13"/>
  <c r="F5" i="13"/>
  <c r="F6" i="13"/>
  <c r="F7" i="13"/>
  <c r="F8" i="13"/>
  <c r="F3" i="13"/>
  <c r="AB24" i="13"/>
  <c r="AB25" i="13"/>
  <c r="G21" i="13"/>
  <c r="G22" i="13"/>
  <c r="E89" i="1"/>
  <c r="H89" i="1"/>
  <c r="O89" i="1"/>
  <c r="AD89" i="1"/>
  <c r="J89" i="1" s="1"/>
  <c r="O3" i="5" a="1"/>
  <c r="O3" i="5" s="1"/>
  <c r="P4" i="5" s="1"/>
  <c r="E12" i="13" a="1"/>
  <c r="G20" i="13" s="1"/>
  <c r="E82" i="1"/>
  <c r="H82" i="1"/>
  <c r="O82" i="1"/>
  <c r="AD82" i="1"/>
  <c r="J82" i="1" s="1"/>
  <c r="AD106" i="1"/>
  <c r="J106" i="1" s="1"/>
  <c r="E106" i="1"/>
  <c r="H106" i="1"/>
  <c r="B4" i="13"/>
  <c r="B5" i="13" s="1"/>
  <c r="B6" i="13" s="1"/>
  <c r="B7" i="13" s="1"/>
  <c r="B8" i="13" s="1"/>
  <c r="B9" i="13" s="1"/>
  <c r="B10" i="13" s="1"/>
  <c r="H155" i="1"/>
  <c r="H156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160" i="1"/>
  <c r="H43" i="1"/>
  <c r="H143" i="1"/>
  <c r="H45" i="1"/>
  <c r="H46" i="1"/>
  <c r="H47" i="1"/>
  <c r="H48" i="1"/>
  <c r="H49" i="1"/>
  <c r="H50" i="1"/>
  <c r="H51" i="1"/>
  <c r="H52" i="1"/>
  <c r="H53" i="1"/>
  <c r="H54" i="1"/>
  <c r="H161" i="1"/>
  <c r="H56" i="1"/>
  <c r="H57" i="1"/>
  <c r="H58" i="1"/>
  <c r="H59" i="1"/>
  <c r="H157" i="1"/>
  <c r="H162" i="1"/>
  <c r="H62" i="1"/>
  <c r="H63" i="1"/>
  <c r="H108" i="1"/>
  <c r="H65" i="1"/>
  <c r="H97" i="1"/>
  <c r="H67" i="1"/>
  <c r="H68" i="1"/>
  <c r="H69" i="1"/>
  <c r="H116" i="1"/>
  <c r="H117" i="1"/>
  <c r="H72" i="1"/>
  <c r="H110" i="1"/>
  <c r="H74" i="1"/>
  <c r="H75" i="1"/>
  <c r="H76" i="1"/>
  <c r="H77" i="1"/>
  <c r="H78" i="1"/>
  <c r="H79" i="1"/>
  <c r="H109" i="1"/>
  <c r="H81" i="1"/>
  <c r="H132" i="1"/>
  <c r="H134" i="1"/>
  <c r="H84" i="1"/>
  <c r="H85" i="1"/>
  <c r="H135" i="1"/>
  <c r="H87" i="1"/>
  <c r="H88" i="1"/>
  <c r="H144" i="1"/>
  <c r="H90" i="1"/>
  <c r="H91" i="1"/>
  <c r="H150" i="1"/>
  <c r="H141" i="1"/>
  <c r="H153" i="1"/>
  <c r="H154" i="1"/>
  <c r="H96" i="1"/>
  <c r="H86" i="1"/>
  <c r="H98" i="1"/>
  <c r="H83" i="1"/>
  <c r="H100" i="1"/>
  <c r="H101" i="1"/>
  <c r="H102" i="1"/>
  <c r="H103" i="1"/>
  <c r="H104" i="1"/>
  <c r="H105" i="1"/>
  <c r="H93" i="1"/>
  <c r="H107" i="1"/>
  <c r="H99" i="1"/>
  <c r="H94" i="1"/>
  <c r="H95" i="1"/>
  <c r="H111" i="1"/>
  <c r="H112" i="1"/>
  <c r="H113" i="1"/>
  <c r="H114" i="1"/>
  <c r="H115" i="1"/>
  <c r="H19" i="1"/>
  <c r="H73" i="1"/>
  <c r="H118" i="1"/>
  <c r="H119" i="1"/>
  <c r="H120" i="1"/>
  <c r="H121" i="1"/>
  <c r="H122" i="1"/>
  <c r="H123" i="1"/>
  <c r="H80" i="1"/>
  <c r="H125" i="1"/>
  <c r="H126" i="1"/>
  <c r="H127" i="1"/>
  <c r="H128" i="1"/>
  <c r="H129" i="1"/>
  <c r="H130" i="1"/>
  <c r="H131" i="1"/>
  <c r="H20" i="1"/>
  <c r="H133" i="1"/>
  <c r="H60" i="1"/>
  <c r="H61" i="1"/>
  <c r="H136" i="1"/>
  <c r="H137" i="1"/>
  <c r="H138" i="1"/>
  <c r="H139" i="1"/>
  <c r="H140" i="1"/>
  <c r="H42" i="1"/>
  <c r="H142" i="1"/>
  <c r="H66" i="1"/>
  <c r="H64" i="1"/>
  <c r="H145" i="1"/>
  <c r="H146" i="1"/>
  <c r="H147" i="1"/>
  <c r="H148" i="1"/>
  <c r="H18" i="1"/>
  <c r="C18" i="1"/>
  <c r="AD68" i="1"/>
  <c r="AD69" i="1"/>
  <c r="AD116" i="1"/>
  <c r="J116" i="1" s="1"/>
  <c r="AD117" i="1"/>
  <c r="J117" i="1" s="1"/>
  <c r="AD72" i="1"/>
  <c r="AD110" i="1"/>
  <c r="AD74" i="1"/>
  <c r="AD75" i="1"/>
  <c r="AD76" i="1"/>
  <c r="J76" i="1" s="1"/>
  <c r="AD77" i="1"/>
  <c r="AD78" i="1"/>
  <c r="AD79" i="1"/>
  <c r="AD109" i="1"/>
  <c r="AD81" i="1"/>
  <c r="AD132" i="1"/>
  <c r="AD134" i="1"/>
  <c r="AD84" i="1"/>
  <c r="AD85" i="1"/>
  <c r="AD135" i="1"/>
  <c r="AD87" i="1"/>
  <c r="AD88" i="1"/>
  <c r="AD144" i="1"/>
  <c r="AD90" i="1"/>
  <c r="AD91" i="1"/>
  <c r="AD150" i="1"/>
  <c r="AD141" i="1"/>
  <c r="AD153" i="1"/>
  <c r="AD154" i="1"/>
  <c r="AD96" i="1"/>
  <c r="AD86" i="1"/>
  <c r="AD98" i="1"/>
  <c r="AD83" i="1"/>
  <c r="AD100" i="1"/>
  <c r="AD101" i="1"/>
  <c r="AD102" i="1"/>
  <c r="AD93" i="1"/>
  <c r="AD103" i="1"/>
  <c r="AD104" i="1"/>
  <c r="AD107" i="1"/>
  <c r="AD99" i="1"/>
  <c r="AD113" i="1"/>
  <c r="AD114" i="1"/>
  <c r="AD145" i="1"/>
  <c r="AD148" i="1"/>
  <c r="AD94" i="1"/>
  <c r="AD95" i="1"/>
  <c r="AD115" i="1"/>
  <c r="AD19" i="1"/>
  <c r="AD73" i="1"/>
  <c r="AD118" i="1"/>
  <c r="AD119" i="1"/>
  <c r="AD120" i="1"/>
  <c r="AD121" i="1"/>
  <c r="AD122" i="1"/>
  <c r="AD123" i="1"/>
  <c r="AD80" i="1"/>
  <c r="AD125" i="1"/>
  <c r="AD126" i="1"/>
  <c r="AD127" i="1"/>
  <c r="AD128" i="1"/>
  <c r="AD129" i="1"/>
  <c r="AD130" i="1"/>
  <c r="AD131" i="1"/>
  <c r="AD20" i="1"/>
  <c r="AD133" i="1"/>
  <c r="AD60" i="1"/>
  <c r="AD61" i="1"/>
  <c r="AD136" i="1"/>
  <c r="AD67" i="1"/>
  <c r="E116" i="1"/>
  <c r="E117" i="1"/>
  <c r="O116" i="1"/>
  <c r="O117" i="1"/>
  <c r="E110" i="1"/>
  <c r="E74" i="1"/>
  <c r="E75" i="1"/>
  <c r="E76" i="1"/>
  <c r="E77" i="1"/>
  <c r="E78" i="1"/>
  <c r="E79" i="1"/>
  <c r="E109" i="1"/>
  <c r="E81" i="1"/>
  <c r="E132" i="1"/>
  <c r="E134" i="1"/>
  <c r="E84" i="1"/>
  <c r="E85" i="1"/>
  <c r="E135" i="1"/>
  <c r="E87" i="1"/>
  <c r="E88" i="1"/>
  <c r="E144" i="1"/>
  <c r="E90" i="1"/>
  <c r="E91" i="1"/>
  <c r="U5" i="12"/>
  <c r="U6" i="12" s="1"/>
  <c r="U7" i="12" s="1"/>
  <c r="U8" i="12" s="1"/>
  <c r="U9" i="12" s="1"/>
  <c r="G19" i="13" l="1"/>
  <c r="AB20" i="13" s="1"/>
  <c r="H20" i="13" s="1"/>
  <c r="F16" i="13"/>
  <c r="F18" i="13"/>
  <c r="F17" i="13"/>
  <c r="F19" i="13"/>
  <c r="E12" i="13"/>
  <c r="F12" i="13" s="1"/>
  <c r="G18" i="13"/>
  <c r="G17" i="13"/>
  <c r="AB22" i="13"/>
  <c r="H22" i="13" s="1"/>
  <c r="AB21" i="13"/>
  <c r="H21" i="13" s="1"/>
  <c r="G16" i="13"/>
  <c r="AB23" i="13"/>
  <c r="O4" i="5"/>
  <c r="O5" i="5" s="1"/>
  <c r="G12" i="13"/>
  <c r="AB12" i="13" s="1"/>
  <c r="H12" i="13" s="1"/>
  <c r="F15" i="13"/>
  <c r="F14" i="13"/>
  <c r="F13" i="13"/>
  <c r="G15" i="13"/>
  <c r="G14" i="13"/>
  <c r="G13" i="13"/>
  <c r="AB13" i="13" s="1"/>
  <c r="E20" i="1"/>
  <c r="O20" i="1"/>
  <c r="J20" i="1"/>
  <c r="O101" i="1"/>
  <c r="J101" i="1"/>
  <c r="O102" i="1"/>
  <c r="J102" i="1"/>
  <c r="O103" i="1"/>
  <c r="J103" i="1"/>
  <c r="E142" i="1"/>
  <c r="O142" i="1"/>
  <c r="AD142" i="1"/>
  <c r="AB19" i="13" l="1"/>
  <c r="H19" i="13" s="1"/>
  <c r="AB18" i="13"/>
  <c r="H18" i="13" s="1"/>
  <c r="AB16" i="13"/>
  <c r="H16" i="13" s="1"/>
  <c r="AB17" i="13"/>
  <c r="H17" i="13" s="1"/>
  <c r="AB15" i="13"/>
  <c r="H15" i="13" s="1"/>
  <c r="H13" i="13"/>
  <c r="AB14" i="13"/>
  <c r="H14" i="13" s="1"/>
  <c r="P5" i="5"/>
  <c r="O7" i="5" s="1"/>
  <c r="D1" i="5" s="1"/>
  <c r="E96" i="1"/>
  <c r="O96" i="1"/>
  <c r="J96" i="1"/>
  <c r="AD64" i="1"/>
  <c r="E137" i="1"/>
  <c r="O137" i="1"/>
  <c r="E147" i="1"/>
  <c r="O147" i="1"/>
  <c r="J100" i="1" l="1"/>
  <c r="O100" i="1"/>
  <c r="E100" i="1"/>
  <c r="E130" i="1"/>
  <c r="J98" i="1"/>
  <c r="E98" i="1"/>
  <c r="O98" i="1"/>
  <c r="E128" i="1" l="1"/>
  <c r="O109" i="1"/>
  <c r="J109" i="1"/>
  <c r="J99" i="1"/>
  <c r="E99" i="1"/>
  <c r="J72" i="1" l="1"/>
  <c r="E72" i="1"/>
  <c r="E52" i="1" l="1"/>
  <c r="AD52" i="1"/>
  <c r="J52" i="1" s="1"/>
  <c r="E114" i="1"/>
  <c r="E146" i="1"/>
  <c r="E145" i="1"/>
  <c r="E148" i="1"/>
  <c r="E129" i="1"/>
  <c r="E42" i="1"/>
  <c r="E140" i="1"/>
  <c r="E64" i="1"/>
  <c r="E139" i="1"/>
  <c r="E61" i="1"/>
  <c r="E60" i="1"/>
  <c r="E66" i="1"/>
  <c r="E80" i="1"/>
  <c r="E73" i="1"/>
  <c r="E19" i="1"/>
  <c r="E105" i="1"/>
  <c r="E83" i="1"/>
  <c r="E111" i="1"/>
  <c r="E86" i="1"/>
  <c r="E93" i="1"/>
  <c r="E95" i="1"/>
  <c r="E94" i="1"/>
  <c r="E154" i="1"/>
  <c r="E97" i="1"/>
  <c r="E153" i="1"/>
  <c r="E141" i="1"/>
  <c r="E150" i="1"/>
  <c r="AD97" i="1" l="1"/>
  <c r="J97" i="1" s="1"/>
  <c r="J90" i="1"/>
  <c r="H68" i="12" a="1"/>
  <c r="H68" i="12" s="1"/>
  <c r="L6" i="12" a="1"/>
  <c r="L6" i="12" s="1"/>
  <c r="J148" i="1"/>
  <c r="J113" i="1"/>
  <c r="O148" i="1"/>
  <c r="AD43" i="1"/>
  <c r="J43" i="1" s="1"/>
  <c r="E43" i="1"/>
  <c r="H6" i="12" a="1"/>
  <c r="H6" i="12" s="1"/>
  <c r="I7" i="12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J95" i="1"/>
  <c r="AD156" i="1"/>
  <c r="J156" i="1" s="1"/>
  <c r="O156" i="1"/>
  <c r="E156" i="1"/>
  <c r="E28" i="1"/>
  <c r="O28" i="1"/>
  <c r="AD28" i="1"/>
  <c r="J28" i="1" s="1"/>
  <c r="J94" i="1"/>
  <c r="A29" i="4"/>
  <c r="J93" i="1"/>
  <c r="J132" i="1"/>
  <c r="O132" i="1"/>
  <c r="AD162" i="1"/>
  <c r="J162" i="1" s="1"/>
  <c r="O162" i="1"/>
  <c r="E162" i="1"/>
  <c r="E46" i="1"/>
  <c r="AD46" i="1"/>
  <c r="J46" i="1" s="1"/>
  <c r="F16" i="5"/>
  <c r="F17" i="5"/>
  <c r="F18" i="5"/>
  <c r="F19" i="5"/>
  <c r="F20" i="5"/>
  <c r="F21" i="5"/>
  <c r="F22" i="5"/>
  <c r="J78" i="1"/>
  <c r="P31" i="5"/>
  <c r="Q31" i="5" s="1"/>
  <c r="P32" i="5"/>
  <c r="Q32" i="5" s="1"/>
  <c r="AD105" i="1"/>
  <c r="J105" i="1" s="1"/>
  <c r="AD112" i="1"/>
  <c r="J112" i="1" s="1"/>
  <c r="E112" i="1"/>
  <c r="J154" i="1"/>
  <c r="P12" i="5"/>
  <c r="Q12" i="5" s="1"/>
  <c r="P13" i="5"/>
  <c r="R13" i="5" s="1"/>
  <c r="P14" i="5"/>
  <c r="R14" i="5" s="1"/>
  <c r="P15" i="5"/>
  <c r="R15" i="5" s="1"/>
  <c r="P16" i="5"/>
  <c r="Q16" i="5" s="1"/>
  <c r="P17" i="5"/>
  <c r="R17" i="5" s="1"/>
  <c r="P18" i="5"/>
  <c r="R18" i="5" s="1"/>
  <c r="P19" i="5"/>
  <c r="R19" i="5" s="1"/>
  <c r="P20" i="5"/>
  <c r="Q20" i="5" s="1"/>
  <c r="P21" i="5"/>
  <c r="R21" i="5" s="1"/>
  <c r="P22" i="5"/>
  <c r="R22" i="5" s="1"/>
  <c r="P23" i="5"/>
  <c r="R23" i="5" s="1"/>
  <c r="P24" i="5"/>
  <c r="Q24" i="5" s="1"/>
  <c r="P25" i="5"/>
  <c r="R25" i="5" s="1"/>
  <c r="P26" i="5"/>
  <c r="Q26" i="5" s="1"/>
  <c r="P27" i="5"/>
  <c r="R27" i="5" s="1"/>
  <c r="P28" i="5"/>
  <c r="Q28" i="5" s="1"/>
  <c r="P29" i="5"/>
  <c r="Q29" i="5" s="1"/>
  <c r="P30" i="5"/>
  <c r="Q30" i="5" s="1"/>
  <c r="C9" i="5" a="1"/>
  <c r="C9" i="5" s="1"/>
  <c r="P9" i="5" s="1"/>
  <c r="Q9" i="5" s="1"/>
  <c r="P10" i="5"/>
  <c r="R10" i="5" s="1"/>
  <c r="P11" i="5"/>
  <c r="R11" i="5" s="1"/>
  <c r="J77" i="1"/>
  <c r="O42" i="1"/>
  <c r="AD42" i="1"/>
  <c r="J42" i="1" s="1"/>
  <c r="J129" i="1"/>
  <c r="AD140" i="1"/>
  <c r="J140" i="1" s="1"/>
  <c r="O129" i="1"/>
  <c r="O38" i="1"/>
  <c r="J61" i="1"/>
  <c r="J73" i="1"/>
  <c r="AD111" i="1"/>
  <c r="J111" i="1" s="1"/>
  <c r="O88" i="1"/>
  <c r="AD139" i="1"/>
  <c r="J139" i="1" s="1"/>
  <c r="E32" i="1"/>
  <c r="AD32" i="1"/>
  <c r="J32" i="1" s="1"/>
  <c r="E63" i="1"/>
  <c r="O63" i="1"/>
  <c r="AD63" i="1"/>
  <c r="J63" i="1" s="1"/>
  <c r="E62" i="1"/>
  <c r="O62" i="1"/>
  <c r="AD62" i="1"/>
  <c r="J62" i="1" s="1"/>
  <c r="J68" i="1"/>
  <c r="E68" i="1"/>
  <c r="J123" i="1"/>
  <c r="O123" i="1"/>
  <c r="E123" i="1"/>
  <c r="AD50" i="1"/>
  <c r="J50" i="1" s="1"/>
  <c r="E50" i="1"/>
  <c r="J83" i="1"/>
  <c r="J86" i="1"/>
  <c r="J104" i="1"/>
  <c r="J145" i="1"/>
  <c r="J114" i="1"/>
  <c r="AD146" i="1"/>
  <c r="J146" i="1" s="1"/>
  <c r="J107" i="1"/>
  <c r="J136" i="1"/>
  <c r="J60" i="1"/>
  <c r="J80" i="1"/>
  <c r="J121" i="1"/>
  <c r="J122" i="1"/>
  <c r="J127" i="1"/>
  <c r="J126" i="1"/>
  <c r="J125" i="1"/>
  <c r="J115" i="1"/>
  <c r="J19" i="1"/>
  <c r="AD138" i="1"/>
  <c r="J138" i="1" s="1"/>
  <c r="J131" i="1"/>
  <c r="J133" i="1"/>
  <c r="AD66" i="1"/>
  <c r="J66" i="1" s="1"/>
  <c r="J118" i="1"/>
  <c r="J119" i="1"/>
  <c r="E107" i="1"/>
  <c r="A9" i="5" a="1"/>
  <c r="K25" i="5" s="1"/>
  <c r="L25" i="5" s="1"/>
  <c r="F9" i="5"/>
  <c r="O79" i="1"/>
  <c r="J79" i="1"/>
  <c r="E36" i="1"/>
  <c r="O36" i="1"/>
  <c r="AD36" i="1"/>
  <c r="J36" i="1" s="1"/>
  <c r="E118" i="1"/>
  <c r="O118" i="1"/>
  <c r="T9" i="5" a="1"/>
  <c r="T9" i="5" s="1"/>
  <c r="J91" i="1"/>
  <c r="E67" i="1"/>
  <c r="J67" i="1"/>
  <c r="E34" i="1"/>
  <c r="AD34" i="1"/>
  <c r="J34" i="1" s="1"/>
  <c r="E51" i="1"/>
  <c r="AD51" i="1"/>
  <c r="J51" i="1" s="1"/>
  <c r="E21" i="1"/>
  <c r="D11" i="5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E54" i="1"/>
  <c r="O54" i="1"/>
  <c r="AD54" i="1"/>
  <c r="J54" i="1" s="1"/>
  <c r="E57" i="1"/>
  <c r="O57" i="1"/>
  <c r="AD57" i="1"/>
  <c r="J57" i="1" s="1"/>
  <c r="D8" i="1"/>
  <c r="AD41" i="1"/>
  <c r="J41" i="1" s="1"/>
  <c r="E41" i="1"/>
  <c r="O10" i="5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AD157" i="1"/>
  <c r="J157" i="1" s="1"/>
  <c r="O157" i="1"/>
  <c r="E157" i="1"/>
  <c r="AD58" i="1"/>
  <c r="J58" i="1" s="1"/>
  <c r="AD161" i="1"/>
  <c r="J161" i="1" s="1"/>
  <c r="E58" i="1"/>
  <c r="O58" i="1"/>
  <c r="J150" i="1"/>
  <c r="E26" i="1"/>
  <c r="AD26" i="1"/>
  <c r="J26" i="1" s="1"/>
  <c r="J10" i="5"/>
  <c r="J11" i="5" s="1"/>
  <c r="J12" i="5" s="1"/>
  <c r="J13" i="5" s="1"/>
  <c r="J14" i="5" s="1"/>
  <c r="J15" i="5" s="1"/>
  <c r="J16" i="5" s="1"/>
  <c r="J17" i="5" s="1"/>
  <c r="J18" i="5" s="1"/>
  <c r="J19" i="5" s="1"/>
  <c r="J20" i="5" s="1"/>
  <c r="J21" i="5" s="1"/>
  <c r="J22" i="5" s="1"/>
  <c r="AD21" i="1"/>
  <c r="J21" i="1" s="1"/>
  <c r="E27" i="1"/>
  <c r="AD27" i="1"/>
  <c r="J27" i="1" s="1"/>
  <c r="AD49" i="1"/>
  <c r="J49" i="1" s="1"/>
  <c r="E115" i="1"/>
  <c r="O115" i="1"/>
  <c r="E161" i="1"/>
  <c r="O161" i="1"/>
  <c r="E113" i="1"/>
  <c r="J87" i="1"/>
  <c r="E138" i="1"/>
  <c r="O138" i="1"/>
  <c r="O19" i="1"/>
  <c r="J88" i="1"/>
  <c r="E30" i="1"/>
  <c r="O30" i="1"/>
  <c r="AD30" i="1"/>
  <c r="J30" i="1" s="1"/>
  <c r="E59" i="1"/>
  <c r="O59" i="1"/>
  <c r="AD59" i="1"/>
  <c r="J59" i="1" s="1"/>
  <c r="E56" i="1"/>
  <c r="O56" i="1"/>
  <c r="AD56" i="1"/>
  <c r="J56" i="1" s="1"/>
  <c r="AD29" i="1"/>
  <c r="J29" i="1" s="1"/>
  <c r="D6" i="1"/>
  <c r="AD24" i="1"/>
  <c r="J24" i="1" s="1"/>
  <c r="AD38" i="1"/>
  <c r="J38" i="1" s="1"/>
  <c r="AD39" i="1"/>
  <c r="J39" i="1" s="1"/>
  <c r="AD31" i="1"/>
  <c r="J31" i="1" s="1"/>
  <c r="AD33" i="1"/>
  <c r="J33" i="1" s="1"/>
  <c r="AD23" i="1"/>
  <c r="J23" i="1" s="1"/>
  <c r="AD155" i="1"/>
  <c r="J155" i="1" s="1"/>
  <c r="AD22" i="1"/>
  <c r="J22" i="1" s="1"/>
  <c r="AD25" i="1"/>
  <c r="J25" i="1" s="1"/>
  <c r="AD35" i="1"/>
  <c r="J35" i="1" s="1"/>
  <c r="AD37" i="1"/>
  <c r="J37" i="1" s="1"/>
  <c r="AD160" i="1"/>
  <c r="J160" i="1" s="1"/>
  <c r="AD45" i="1"/>
  <c r="J45" i="1" s="1"/>
  <c r="AD53" i="1"/>
  <c r="J53" i="1" s="1"/>
  <c r="AD40" i="1"/>
  <c r="J40" i="1" s="1"/>
  <c r="AD48" i="1"/>
  <c r="J48" i="1" s="1"/>
  <c r="AD143" i="1"/>
  <c r="J143" i="1" s="1"/>
  <c r="AD47" i="1"/>
  <c r="J47" i="1" s="1"/>
  <c r="J120" i="1"/>
  <c r="J153" i="1"/>
  <c r="J110" i="1"/>
  <c r="J135" i="1"/>
  <c r="J81" i="1"/>
  <c r="J141" i="1"/>
  <c r="J74" i="1"/>
  <c r="J84" i="1"/>
  <c r="J85" i="1"/>
  <c r="J69" i="1"/>
  <c r="J75" i="1"/>
  <c r="J134" i="1"/>
  <c r="J144" i="1"/>
  <c r="AD65" i="1"/>
  <c r="J65" i="1" s="1"/>
  <c r="AD108" i="1"/>
  <c r="J108" i="1" s="1"/>
  <c r="AD18" i="1"/>
  <c r="J18" i="1" s="1"/>
  <c r="E65" i="1"/>
  <c r="E108" i="1"/>
  <c r="O131" i="1"/>
  <c r="E131" i="1"/>
  <c r="F1" i="3"/>
  <c r="E25" i="1"/>
  <c r="D1" i="3"/>
  <c r="E22" i="1"/>
  <c r="E24" i="1"/>
  <c r="E38" i="1"/>
  <c r="E39" i="1"/>
  <c r="E29" i="1"/>
  <c r="E31" i="1"/>
  <c r="E33" i="1"/>
  <c r="E23" i="1"/>
  <c r="E155" i="1"/>
  <c r="E35" i="1"/>
  <c r="E37" i="1"/>
  <c r="E160" i="1"/>
  <c r="E45" i="1"/>
  <c r="E49" i="1"/>
  <c r="E53" i="1"/>
  <c r="E40" i="1"/>
  <c r="E48" i="1"/>
  <c r="E143" i="1"/>
  <c r="E121" i="1"/>
  <c r="E127" i="1"/>
  <c r="E47" i="1"/>
  <c r="E133" i="1"/>
  <c r="E126" i="1"/>
  <c r="E122" i="1"/>
  <c r="E125" i="1"/>
  <c r="E119" i="1"/>
  <c r="E136" i="1"/>
  <c r="E120" i="1"/>
  <c r="E69" i="1"/>
  <c r="E104" i="1"/>
  <c r="E18" i="1"/>
  <c r="O66" i="1"/>
  <c r="P5" i="3"/>
  <c r="Q5" i="3" s="1"/>
  <c r="P4" i="3" s="1"/>
  <c r="B31" i="8"/>
  <c r="O24" i="1"/>
  <c r="O39" i="1"/>
  <c r="O53" i="1"/>
  <c r="O48" i="1"/>
  <c r="O47" i="1"/>
  <c r="O121" i="1"/>
  <c r="O122" i="1"/>
  <c r="O136" i="1"/>
  <c r="O120" i="1"/>
  <c r="O126" i="1"/>
  <c r="O119" i="1"/>
  <c r="O74" i="1"/>
  <c r="O81" i="1"/>
  <c r="O69" i="1"/>
  <c r="O104" i="1"/>
  <c r="O18" i="1"/>
  <c r="Q27" i="5" l="1"/>
  <c r="R32" i="5"/>
  <c r="R24" i="5"/>
  <c r="R31" i="5"/>
  <c r="K22" i="5"/>
  <c r="L22" i="5" s="1"/>
  <c r="K23" i="5"/>
  <c r="L23" i="5" s="1"/>
  <c r="K24" i="5"/>
  <c r="M24" i="5" s="1"/>
  <c r="K12" i="5"/>
  <c r="L12" i="5" s="1"/>
  <c r="K21" i="5"/>
  <c r="L21" i="5" s="1"/>
  <c r="R16" i="5"/>
  <c r="K20" i="5"/>
  <c r="M20" i="5" s="1"/>
  <c r="K19" i="5"/>
  <c r="L19" i="5" s="1"/>
  <c r="K17" i="5"/>
  <c r="L17" i="5" s="1"/>
  <c r="K18" i="5"/>
  <c r="M18" i="5" s="1"/>
  <c r="R12" i="5"/>
  <c r="R20" i="5"/>
  <c r="Q10" i="5"/>
  <c r="Q14" i="5"/>
  <c r="Q18" i="5"/>
  <c r="Q22" i="5"/>
  <c r="Q11" i="5"/>
  <c r="Q13" i="5"/>
  <c r="Q15" i="5"/>
  <c r="Q17" i="5"/>
  <c r="Q19" i="5"/>
  <c r="Q21" i="5"/>
  <c r="Q23" i="5"/>
  <c r="Q25" i="5"/>
  <c r="K16" i="5"/>
  <c r="M16" i="5" s="1"/>
  <c r="F15" i="5"/>
  <c r="F14" i="5"/>
  <c r="K15" i="5"/>
  <c r="L15" i="5" s="1"/>
  <c r="R28" i="5"/>
  <c r="F13" i="5"/>
  <c r="F12" i="5"/>
  <c r="R29" i="5"/>
  <c r="R26" i="5"/>
  <c r="R30" i="5"/>
  <c r="G12" i="5"/>
  <c r="L18" i="5"/>
  <c r="M22" i="5"/>
  <c r="F11" i="5"/>
  <c r="G19" i="5"/>
  <c r="K14" i="5"/>
  <c r="M14" i="5" s="1"/>
  <c r="K13" i="5"/>
  <c r="R9" i="5"/>
  <c r="G17" i="5"/>
  <c r="G21" i="5"/>
  <c r="G16" i="5"/>
  <c r="G18" i="5"/>
  <c r="G20" i="5"/>
  <c r="G22" i="5"/>
  <c r="K11" i="5"/>
  <c r="A9" i="5"/>
  <c r="K9" i="5" s="1"/>
  <c r="K10" i="5"/>
  <c r="M25" i="5"/>
  <c r="G9" i="5"/>
  <c r="I36" i="12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I54" i="12" s="1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I81" i="12" s="1"/>
  <c r="I82" i="12" s="1"/>
  <c r="I83" i="12" s="1"/>
  <c r="I84" i="12" s="1"/>
  <c r="I85" i="12" s="1"/>
  <c r="I86" i="12" s="1"/>
  <c r="I87" i="12" s="1"/>
  <c r="I88" i="12" s="1"/>
  <c r="I89" i="12" s="1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102" i="12" s="1"/>
  <c r="I103" i="12" s="1"/>
  <c r="I104" i="12" s="1"/>
  <c r="I105" i="12" s="1"/>
  <c r="I106" i="12" s="1"/>
  <c r="I107" i="12" s="1"/>
  <c r="I108" i="12" s="1"/>
  <c r="I109" i="12" s="1"/>
  <c r="I110" i="12" s="1"/>
  <c r="I111" i="12" s="1"/>
  <c r="I112" i="12" s="1"/>
  <c r="I113" i="12" s="1"/>
  <c r="I114" i="12" s="1"/>
  <c r="I115" i="12" s="1"/>
  <c r="I116" i="12" s="1"/>
  <c r="I117" i="12" s="1"/>
  <c r="I118" i="12" s="1"/>
  <c r="I119" i="12" s="1"/>
  <c r="I120" i="12" s="1"/>
  <c r="I121" i="12" s="1"/>
  <c r="I122" i="12" s="1"/>
  <c r="I123" i="12" s="1"/>
  <c r="I124" i="12" s="1"/>
  <c r="I125" i="12" s="1"/>
  <c r="I126" i="12" s="1"/>
  <c r="C2" i="12" l="1"/>
  <c r="M21" i="5"/>
  <c r="L20" i="5"/>
  <c r="M12" i="5"/>
  <c r="M17" i="5"/>
  <c r="L24" i="5"/>
  <c r="M19" i="5"/>
  <c r="M23" i="5"/>
  <c r="G15" i="5"/>
  <c r="L16" i="5"/>
  <c r="G14" i="5"/>
  <c r="M15" i="5"/>
  <c r="L14" i="5"/>
  <c r="G13" i="5"/>
  <c r="G7" i="5"/>
  <c r="F4" i="5" s="1"/>
  <c r="G11" i="5"/>
  <c r="M13" i="5"/>
  <c r="L13" i="5"/>
  <c r="F10" i="5"/>
  <c r="G10" i="5"/>
  <c r="M9" i="5"/>
  <c r="L9" i="5"/>
  <c r="M7" i="5"/>
  <c r="M10" i="5"/>
  <c r="L10" i="5"/>
  <c r="L11" i="5"/>
  <c r="M11" i="5"/>
  <c r="B6" i="12" a="1"/>
  <c r="B6" i="12" l="1"/>
  <c r="C7" i="12" s="1"/>
  <c r="C125" i="12"/>
  <c r="C106" i="12"/>
  <c r="C114" i="12"/>
  <c r="C122" i="12"/>
  <c r="C111" i="12"/>
  <c r="C119" i="12"/>
  <c r="C112" i="12"/>
  <c r="C120" i="12"/>
  <c r="C109" i="12"/>
  <c r="C117" i="12"/>
  <c r="C104" i="12"/>
  <c r="C108" i="12"/>
  <c r="C110" i="12"/>
  <c r="C118" i="12"/>
  <c r="C107" i="12"/>
  <c r="C115" i="12"/>
  <c r="C123" i="12"/>
  <c r="C116" i="12"/>
  <c r="C124" i="12"/>
  <c r="C113" i="12"/>
  <c r="C121" i="12"/>
  <c r="C105" i="12"/>
  <c r="C103" i="12"/>
  <c r="C102" i="12"/>
  <c r="C97" i="12"/>
  <c r="C100" i="12"/>
  <c r="C70" i="12"/>
  <c r="C86" i="12"/>
  <c r="C67" i="12"/>
  <c r="C83" i="12"/>
  <c r="C64" i="12"/>
  <c r="C80" i="12"/>
  <c r="C69" i="12"/>
  <c r="C93" i="12"/>
  <c r="C82" i="12"/>
  <c r="C79" i="12"/>
  <c r="C92" i="12"/>
  <c r="C85" i="12"/>
  <c r="C74" i="12"/>
  <c r="C71" i="12"/>
  <c r="C68" i="12"/>
  <c r="C73" i="12"/>
  <c r="C89" i="12"/>
  <c r="C98" i="12"/>
  <c r="C99" i="12"/>
  <c r="C101" i="12"/>
  <c r="C96" i="12"/>
  <c r="C78" i="12"/>
  <c r="C94" i="12"/>
  <c r="C75" i="12"/>
  <c r="C91" i="12"/>
  <c r="C72" i="12"/>
  <c r="C88" i="12"/>
  <c r="C77" i="12"/>
  <c r="C66" i="12"/>
  <c r="C63" i="12"/>
  <c r="C76" i="12"/>
  <c r="C65" i="12"/>
  <c r="C81" i="12"/>
  <c r="C90" i="12"/>
  <c r="C87" i="12"/>
  <c r="C84" i="12"/>
  <c r="C95" i="12"/>
  <c r="C59" i="12"/>
  <c r="C61" i="12"/>
  <c r="C60" i="12"/>
  <c r="C62" i="12"/>
  <c r="C14" i="12"/>
  <c r="C30" i="12"/>
  <c r="C46" i="12"/>
  <c r="C27" i="12"/>
  <c r="C43" i="12"/>
  <c r="C24" i="12"/>
  <c r="C40" i="12"/>
  <c r="C56" i="12"/>
  <c r="C29" i="12"/>
  <c r="C45" i="12"/>
  <c r="C18" i="12"/>
  <c r="C50" i="12"/>
  <c r="C31" i="12"/>
  <c r="C28" i="12"/>
  <c r="C33" i="12"/>
  <c r="C11" i="12"/>
  <c r="C26" i="12"/>
  <c r="C58" i="12"/>
  <c r="C39" i="12"/>
  <c r="C20" i="12"/>
  <c r="C52" i="12"/>
  <c r="C41" i="12"/>
  <c r="C10" i="12"/>
  <c r="C22" i="12"/>
  <c r="C38" i="12"/>
  <c r="C54" i="12"/>
  <c r="C19" i="12"/>
  <c r="C35" i="12"/>
  <c r="C51" i="12"/>
  <c r="C16" i="12"/>
  <c r="C32" i="12"/>
  <c r="C48" i="12"/>
  <c r="C21" i="12"/>
  <c r="C37" i="12"/>
  <c r="C53" i="12"/>
  <c r="C34" i="12"/>
  <c r="C15" i="12"/>
  <c r="C47" i="12"/>
  <c r="C44" i="12"/>
  <c r="C17" i="12"/>
  <c r="C49" i="12"/>
  <c r="C8" i="12"/>
  <c r="C9" i="12"/>
  <c r="C42" i="12"/>
  <c r="C23" i="12"/>
  <c r="C55" i="12"/>
  <c r="C36" i="12"/>
  <c r="C25" i="12"/>
  <c r="C57" i="12"/>
  <c r="C12" i="12"/>
  <c r="C13" i="12"/>
  <c r="I3" i="5" l="1"/>
  <c r="I4" i="5" s="1"/>
  <c r="G1" i="12" s="1"/>
  <c r="E102" i="1"/>
  <c r="E103" i="1"/>
  <c r="E101" i="1"/>
  <c r="AO18" i="1" l="1"/>
  <c r="AO19" i="1" l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AO106" i="1" s="1"/>
  <c r="AO107" i="1" s="1"/>
  <c r="AO108" i="1" s="1"/>
  <c r="AO109" i="1" s="1"/>
  <c r="AO110" i="1" s="1"/>
  <c r="AO111" i="1" s="1"/>
  <c r="AO112" i="1" s="1"/>
  <c r="AO113" i="1" s="1"/>
  <c r="AO114" i="1" s="1"/>
  <c r="AO115" i="1" s="1"/>
  <c r="AO116" i="1" s="1"/>
  <c r="AO117" i="1" s="1"/>
  <c r="AO118" i="1" s="1"/>
  <c r="AO119" i="1" s="1"/>
  <c r="AO120" i="1" s="1"/>
  <c r="AO121" i="1" s="1"/>
  <c r="AO122" i="1" s="1"/>
  <c r="AO123" i="1" s="1"/>
  <c r="AO124" i="1" s="1"/>
  <c r="AO125" i="1" s="1"/>
  <c r="AO126" i="1" s="1"/>
  <c r="AO127" i="1" s="1"/>
  <c r="AO128" i="1" s="1"/>
  <c r="AO129" i="1" s="1"/>
  <c r="AO130" i="1" s="1"/>
  <c r="AO131" i="1" s="1"/>
  <c r="AO132" i="1" s="1"/>
  <c r="AO133" i="1" s="1"/>
  <c r="AO134" i="1" s="1"/>
  <c r="AO135" i="1" s="1"/>
  <c r="AO136" i="1" s="1"/>
  <c r="AO137" i="1" s="1"/>
  <c r="AO138" i="1" s="1"/>
  <c r="AO139" i="1" s="1"/>
  <c r="AO140" i="1" s="1"/>
  <c r="AO141" i="1" s="1"/>
  <c r="AO142" i="1" s="1"/>
  <c r="AO143" i="1" s="1"/>
  <c r="AO144" i="1" s="1"/>
  <c r="AO145" i="1" s="1"/>
  <c r="AO146" i="1" s="1"/>
  <c r="AO147" i="1" s="1"/>
  <c r="AO148" i="1" s="1"/>
  <c r="AO149" i="1" s="1"/>
  <c r="AO150" i="1" s="1"/>
  <c r="AO151" i="1" s="1"/>
  <c r="AO152" i="1" s="1"/>
  <c r="AO153" i="1" s="1"/>
  <c r="AO154" i="1" s="1"/>
  <c r="AO155" i="1" s="1"/>
  <c r="AO156" i="1" s="1"/>
  <c r="AO157" i="1" s="1"/>
  <c r="AO158" i="1" s="1"/>
  <c r="AO159" i="1" s="1"/>
  <c r="AO160" i="1" s="1"/>
  <c r="AO161" i="1" s="1"/>
  <c r="AO162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Q58" authorId="0" shapeId="0" xr:uid="{4C302360-94BF-4DAA-896F-1D527AA53A23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Se Deben $90 De recargos de octubre
10%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600E95-169D-492A-B560-518058957CA0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72FC34-6BE0-45F1-B572-AE0B99142719}" name="WorksheetConnection_Registro de pagos Enero 2025.xlsx!Tabla2" type="102" refreshedVersion="7" minRefreshableVersion="5">
    <extLst>
      <ext xmlns:x15="http://schemas.microsoft.com/office/spreadsheetml/2010/11/main" uri="{DE250136-89BD-433C-8126-D09CA5730AF9}">
        <x15:connection id="Tabla2" autoDelete="1">
          <x15:rangePr sourceName="_xlcn.WorksheetConnection_RegistrodepagosEnero2025.xlsxTabla2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<sst xmlns="http://schemas.openxmlformats.org/spreadsheetml/2006/main" count="1848" uniqueCount="632">
  <si>
    <t>SITUACIÓN</t>
  </si>
  <si>
    <t>INICIO</t>
  </si>
  <si>
    <t>PROFESOR</t>
  </si>
  <si>
    <t>CURSO</t>
  </si>
  <si>
    <t>NIVEL</t>
  </si>
  <si>
    <t>MÉTODO</t>
  </si>
  <si>
    <t>CLASIFICACIÓN</t>
  </si>
  <si>
    <t>DÍA</t>
  </si>
  <si>
    <t>HORARIO</t>
  </si>
  <si>
    <t>DURACIÓN</t>
  </si>
  <si>
    <t>CEL ALUMNO</t>
  </si>
  <si>
    <t>CONTACTO MADRE, PADRE O TUTOR</t>
  </si>
  <si>
    <t>CORREO ELECTRÓNICO</t>
  </si>
  <si>
    <t>FECHA DE NACIMIENTO DEL ALUMNO</t>
  </si>
  <si>
    <t>INSCRIPCIÓN</t>
  </si>
  <si>
    <t>DESC.</t>
  </si>
  <si>
    <t>PAGO DE INSC.</t>
  </si>
  <si>
    <t>DESC.2</t>
  </si>
  <si>
    <t>COMENTARIOS</t>
  </si>
  <si>
    <t>Activo</t>
  </si>
  <si>
    <t>Beto</t>
  </si>
  <si>
    <t>Batería</t>
  </si>
  <si>
    <t>-</t>
  </si>
  <si>
    <t>Bateria</t>
  </si>
  <si>
    <t>Yamaha</t>
  </si>
  <si>
    <t>Semi</t>
  </si>
  <si>
    <t>449-390-64-82</t>
  </si>
  <si>
    <t>Sandra Torres Carreón</t>
  </si>
  <si>
    <t>terpsicore.130975@gmail.com</t>
  </si>
  <si>
    <t>Lunes</t>
  </si>
  <si>
    <t>Mamá de Emilia</t>
  </si>
  <si>
    <t>443-527-96-38</t>
  </si>
  <si>
    <t>Miércoles</t>
  </si>
  <si>
    <t>554 144 04 02</t>
  </si>
  <si>
    <t>glz_zamora@hotmail.com</t>
  </si>
  <si>
    <t>Sábado</t>
  </si>
  <si>
    <t>Hijo del maestro Fernando</t>
  </si>
  <si>
    <t>eduardo.samaniego@gmail.com</t>
  </si>
  <si>
    <t>Lucero Flores Barrón</t>
  </si>
  <si>
    <t>cesarandresmof@gmail.com</t>
  </si>
  <si>
    <t>raudelivan.parga@gmail.com</t>
  </si>
  <si>
    <t>Pavel</t>
  </si>
  <si>
    <t>Canto</t>
  </si>
  <si>
    <t>María Fernanda López Sánchez</t>
  </si>
  <si>
    <t>mfsnchz23@gmail.com</t>
  </si>
  <si>
    <t>fabyflor54@hotmail.com</t>
  </si>
  <si>
    <t>María Guadalupe Hernández Ruiz Uriel Hugo Aguilar Zacarias</t>
  </si>
  <si>
    <t>496-132-70-00</t>
  </si>
  <si>
    <t>En línea</t>
  </si>
  <si>
    <t>Papá de Natalia</t>
  </si>
  <si>
    <t>marthalesa@gmail.com</t>
  </si>
  <si>
    <t>Zaida Guerrero                              León Serna</t>
  </si>
  <si>
    <t>465-955-51-17</t>
  </si>
  <si>
    <t>zaidagc@gmail.com</t>
  </si>
  <si>
    <t>449-205-41-86</t>
  </si>
  <si>
    <t>julio.elenes@hotmail.com</t>
  </si>
  <si>
    <t>Tarjeta</t>
  </si>
  <si>
    <t>Guitarra</t>
  </si>
  <si>
    <t>Martes</t>
  </si>
  <si>
    <t>Grupal</t>
  </si>
  <si>
    <t>449-582-64-98</t>
  </si>
  <si>
    <t>M.A del Carmen</t>
  </si>
  <si>
    <t>449-183-35-35</t>
  </si>
  <si>
    <t>aguilarlopezvictormanuel48@gmail.com</t>
  </si>
  <si>
    <t>Irma Elena Gómez Salgado Eduardo Reyes Diveda</t>
  </si>
  <si>
    <t>449-327-73-74 449-151-70-90</t>
  </si>
  <si>
    <t>edicamx@hotmail.com</t>
  </si>
  <si>
    <t>eaglestrike-@hotmail.com</t>
  </si>
  <si>
    <t>Diego</t>
  </si>
  <si>
    <t>Laura Aurora Herrera Salas Carlos Alberto García Lota</t>
  </si>
  <si>
    <t>449-104-60-10 449-110-54-45</t>
  </si>
  <si>
    <t>cplauraherrera@gmail.com</t>
  </si>
  <si>
    <t>María de la luz Hermosillo                   Oscar Prieto Martínez</t>
  </si>
  <si>
    <t xml:space="preserve">                                   496-110-00-99</t>
  </si>
  <si>
    <t>leonardo.sanz@outlook.com</t>
  </si>
  <si>
    <t>Vianney Sotelo Mayries</t>
  </si>
  <si>
    <t>vianney.sotelo@hotmail.com</t>
  </si>
  <si>
    <t>riandrade.carreon@gmail.com</t>
  </si>
  <si>
    <t>Piano</t>
  </si>
  <si>
    <t>Adventures</t>
  </si>
  <si>
    <t>Mamá de Asami</t>
  </si>
  <si>
    <t>449-108-30-62</t>
  </si>
  <si>
    <t>dani901216@gmail.com</t>
  </si>
  <si>
    <t>Fernando</t>
  </si>
  <si>
    <t>Erik Romero Huerta</t>
  </si>
  <si>
    <t>erydrom8@gmail.com</t>
  </si>
  <si>
    <t>449-173-37-88</t>
  </si>
  <si>
    <t>Miguel Ángel Hernández Laura Raquel González</t>
  </si>
  <si>
    <t>449-232-08-61 449-398-40-23</t>
  </si>
  <si>
    <t>vale.hdzgonz28@gmail.com</t>
  </si>
  <si>
    <t>drarosama2755@live.com</t>
  </si>
  <si>
    <t>Alma Cristina Montoya Valadez Carlos Omar Martínez López</t>
  </si>
  <si>
    <t>María Elena Rodríguez Pérez</t>
  </si>
  <si>
    <t>elenaxmaria@gmail.com</t>
  </si>
  <si>
    <t>Roxana Vargas</t>
  </si>
  <si>
    <t>catando16@hotmail.com</t>
  </si>
  <si>
    <t>Jueves</t>
  </si>
  <si>
    <t>draclaudiaperez@yahoo.com</t>
  </si>
  <si>
    <t>Papá de Derek</t>
  </si>
  <si>
    <t>449-390-26-13</t>
  </si>
  <si>
    <t>Elizabeth Parrales Martínez</t>
  </si>
  <si>
    <t>parralesaritzel@gmail.com</t>
  </si>
  <si>
    <t xml:space="preserve">COLEGIATURA ANTERIOR </t>
  </si>
  <si>
    <t>DESC.3</t>
  </si>
  <si>
    <t>COLEGIATURA ACTUAL</t>
  </si>
  <si>
    <t>Natalia Hernandez</t>
  </si>
  <si>
    <t>natalia_hc@hotmail.com</t>
  </si>
  <si>
    <t>prom. 50% descuento</t>
  </si>
  <si>
    <t>#DE RECIBO</t>
  </si>
  <si>
    <t>Juan Carlos Salas M</t>
  </si>
  <si>
    <t>jcsalasma@hotmail.com</t>
  </si>
  <si>
    <t>epa</t>
  </si>
  <si>
    <t>Completo</t>
  </si>
  <si>
    <t>Indv.</t>
  </si>
  <si>
    <t>50% 300</t>
  </si>
  <si>
    <t>Leslie</t>
  </si>
  <si>
    <t>Linea</t>
  </si>
  <si>
    <t>Violin</t>
  </si>
  <si>
    <t>Modalidad</t>
  </si>
  <si>
    <t>Beca 10%</t>
  </si>
  <si>
    <t>Nombre del Alumno</t>
  </si>
  <si>
    <t>Edad</t>
  </si>
  <si>
    <t>Contacto</t>
  </si>
  <si>
    <t>Email</t>
  </si>
  <si>
    <t>Fijo</t>
  </si>
  <si>
    <t>Direccion</t>
  </si>
  <si>
    <t>Email/Telefono</t>
  </si>
  <si>
    <t>Curso</t>
  </si>
  <si>
    <t>(  ) Violín</t>
  </si>
  <si>
    <t>(  ) Bateria</t>
  </si>
  <si>
    <t>(  ) Piano</t>
  </si>
  <si>
    <t>(  ) Guitarra</t>
  </si>
  <si>
    <t>(  ) Canto</t>
  </si>
  <si>
    <t>Fecha Inicio</t>
  </si>
  <si>
    <t>Cuenta con Instrumento</t>
  </si>
  <si>
    <t>(   ) Si</t>
  </si>
  <si>
    <t>(   ) No</t>
  </si>
  <si>
    <t>Marca</t>
  </si>
  <si>
    <t>Experiencia Musical</t>
  </si>
  <si>
    <t>Clase</t>
  </si>
  <si>
    <t>Firma</t>
  </si>
  <si>
    <t>Maestro</t>
  </si>
  <si>
    <t>No. Recibo</t>
  </si>
  <si>
    <t>Notas</t>
  </si>
  <si>
    <t>Tutores (En caso de ser menor de edad)</t>
  </si>
  <si>
    <t>Alex</t>
  </si>
  <si>
    <t>Nombre</t>
  </si>
  <si>
    <t>Horario</t>
  </si>
  <si>
    <t>Baja</t>
  </si>
  <si>
    <t>Valentina Hernández González</t>
  </si>
  <si>
    <t>Jimena García de la Cerda</t>
  </si>
  <si>
    <t>Asami Sofía Kato</t>
  </si>
  <si>
    <t>Florentina Serna Guerrero</t>
  </si>
  <si>
    <t>Sergio Alexis Andrade</t>
  </si>
  <si>
    <t>Carolina Guadalupe  Aguilar Hernández</t>
  </si>
  <si>
    <t>Profesor</t>
  </si>
  <si>
    <t>Alexandra Tiscareño</t>
  </si>
  <si>
    <t>David Antonio Zavala Torres</t>
  </si>
  <si>
    <t>Rodrigo Andrade Carreón</t>
  </si>
  <si>
    <t>José Manuel Pérez Collado</t>
  </si>
  <si>
    <t>Leonardo Daniel Sánchez Velazco</t>
  </si>
  <si>
    <t>Nancy Olmos</t>
  </si>
  <si>
    <t>Mia Ximena Martínez Montoya</t>
  </si>
  <si>
    <t>Fernando Pérez Rodríguez</t>
  </si>
  <si>
    <t xml:space="preserve">Carlos Santiago Samaniego Osuna </t>
  </si>
  <si>
    <t>María José Quiroz López</t>
  </si>
  <si>
    <t>Luciel Hinojo Sotelo</t>
  </si>
  <si>
    <t>Sergio Arturo Medina Pedroza</t>
  </si>
  <si>
    <t>Paola Daniela Avendaño Cruz</t>
  </si>
  <si>
    <t>Natalia Hernández</t>
  </si>
  <si>
    <t>Maria guadalupe olmos camacho</t>
  </si>
  <si>
    <t>=SI([@SITUACIÓN]&lt;&gt;"",SI([@SITUACIÓN]="Activo",B11+1,B11),0)</t>
  </si>
  <si>
    <t>Instrumento</t>
  </si>
  <si>
    <t>Susana Cuenca Muñoz</t>
  </si>
  <si>
    <t>alfalfa270@gmail.com</t>
  </si>
  <si>
    <t>Ray</t>
  </si>
  <si>
    <t>Numero</t>
  </si>
  <si>
    <t>Nombre Tutor</t>
  </si>
  <si>
    <t>Ana Lilia Muñoz / Ricardo Cuenca Verduzco</t>
  </si>
  <si>
    <t>55 28 55 1108 / 449 469 9728</t>
  </si>
  <si>
    <t>Yolanda Maria Lara</t>
  </si>
  <si>
    <t>yola_lapy@hotmail.com</t>
  </si>
  <si>
    <t>Celular alumno</t>
  </si>
  <si>
    <t>Paola Mailyn Santacruz Lopez</t>
  </si>
  <si>
    <t>449 206 4016</t>
  </si>
  <si>
    <t>Laura Lopez Hinojosa</t>
  </si>
  <si>
    <t>Danahe Menchaca Amezcua</t>
  </si>
  <si>
    <t>Transferencia</t>
  </si>
  <si>
    <t>Martha Ledesma Sánchez</t>
  </si>
  <si>
    <t>Sofia Rodríguez Medina</t>
  </si>
  <si>
    <t>¿Cómo se entero de nosotros?</t>
  </si>
  <si>
    <t>446 299 2391</t>
  </si>
  <si>
    <t>Instrumental</t>
  </si>
  <si>
    <t>Elisa Mata</t>
  </si>
  <si>
    <t>449 206 5099</t>
  </si>
  <si>
    <t>Zuleima</t>
  </si>
  <si>
    <t>449 359 4344</t>
  </si>
  <si>
    <t>Luis Fernando Olmos Malo</t>
  </si>
  <si>
    <t>Raudel Ivan Parga Rodríguez</t>
  </si>
  <si>
    <t>Diego Rodríguez Medina</t>
  </si>
  <si>
    <t>Claudia Leticia Pérez Aldana</t>
  </si>
  <si>
    <t>Aritzel Grecia Zavala Parrales</t>
  </si>
  <si>
    <t xml:space="preserve">Sofía Guzmán Hernandez </t>
  </si>
  <si>
    <t>Emiliano Guiterrez Dorantes</t>
  </si>
  <si>
    <t>Adrian Gutierrez Valencia</t>
  </si>
  <si>
    <t>10% descuento</t>
  </si>
  <si>
    <t>Surelhy Gutierrez Dorantes</t>
  </si>
  <si>
    <t>Raul Camarillo Sanchez</t>
  </si>
  <si>
    <t>449 205 4480</t>
  </si>
  <si>
    <t>Maria Fernando Zepeda Alonso</t>
  </si>
  <si>
    <t>Martha Elba Alonso Jaramillo</t>
  </si>
  <si>
    <t>449 911 1174</t>
  </si>
  <si>
    <t>Alexa Lopez Garcia</t>
  </si>
  <si>
    <t>Nancy Garcia</t>
  </si>
  <si>
    <t>449 196 2190</t>
  </si>
  <si>
    <t>Lupita Ledesma</t>
  </si>
  <si>
    <t>Fer</t>
  </si>
  <si>
    <t>Andrea Avila Alanis</t>
  </si>
  <si>
    <t>Vania Alanis Tellez</t>
  </si>
  <si>
    <t>449 137 3571</t>
  </si>
  <si>
    <t>Piano Grupo 1</t>
  </si>
  <si>
    <t>Piano Grupo 2</t>
  </si>
  <si>
    <t>Semana 1</t>
  </si>
  <si>
    <t>10:00-11:00</t>
  </si>
  <si>
    <t>11:00-12:00</t>
  </si>
  <si>
    <t>Piano (Grupo 2)</t>
  </si>
  <si>
    <t>Semana 2</t>
  </si>
  <si>
    <t>Semana 3</t>
  </si>
  <si>
    <t>Semana 4</t>
  </si>
  <si>
    <t>12:00-13:00</t>
  </si>
  <si>
    <t>Piano (Grupo 1)</t>
  </si>
  <si>
    <t>Ana Paula Valdes Sanchez</t>
  </si>
  <si>
    <t>449 116 8245</t>
  </si>
  <si>
    <t>Lunes (15) Miercoles (17) Viernes (19)</t>
  </si>
  <si>
    <t>Lunes (22) Miercoles (24) Viernes (26)</t>
  </si>
  <si>
    <t>Lunes (29) Miercoles (31) Viernes (2)</t>
  </si>
  <si>
    <t>Lunes (5) Miercoles (7) Viernes (9)</t>
  </si>
  <si>
    <t>Emilia Aitana Mendoza Arjona</t>
  </si>
  <si>
    <t xml:space="preserve"> </t>
  </si>
  <si>
    <t>Víctor Manuel Aguilar López</t>
  </si>
  <si>
    <t>Julio César Elenes Cardenas</t>
  </si>
  <si>
    <t>César Alejandro Reyes Gómez</t>
  </si>
  <si>
    <t>Oscar Prieto Hermosillo</t>
  </si>
  <si>
    <t>Javier González Zamora</t>
  </si>
  <si>
    <t>César Andrés Montiel Flores</t>
  </si>
  <si>
    <t>Carolina Guadalupe Aguilar Hernández</t>
  </si>
  <si>
    <t>Alejandra García Herrera</t>
  </si>
  <si>
    <t>Erily Daniela Romero Maza</t>
  </si>
  <si>
    <t>María Alejandra Romero Sánchez</t>
  </si>
  <si>
    <t>María Paula Ando Vargas</t>
  </si>
  <si>
    <t xml:space="preserve">Derek Marichal Moreno </t>
  </si>
  <si>
    <t>Yehimi Patricia Salas Castro</t>
  </si>
  <si>
    <t>Guitarra Grupo 1</t>
  </si>
  <si>
    <t>Yapa</t>
  </si>
  <si>
    <t>German Gutierrez Rojas</t>
  </si>
  <si>
    <t>449 225 2029</t>
  </si>
  <si>
    <t>Mari Carmen Rojas</t>
  </si>
  <si>
    <t>Rosa Monserrat Gutierrez</t>
  </si>
  <si>
    <t>Jose Manuel Gonzalez</t>
  </si>
  <si>
    <t>Valentin</t>
  </si>
  <si>
    <t>Piano Grupo 3</t>
  </si>
  <si>
    <t>Guitarra Grupo 2</t>
  </si>
  <si>
    <t>Bateria Grupo 1</t>
  </si>
  <si>
    <t>Valentina Daney Suarez Hernandez</t>
  </si>
  <si>
    <t>449 448 4632</t>
  </si>
  <si>
    <t>Carmen Jalyth Suarez</t>
  </si>
  <si>
    <t>Piano (Grupo 1) | Bateria</t>
  </si>
  <si>
    <t>Martes (23) Jueves (24)</t>
  </si>
  <si>
    <t>Piano (grupo 3) | Guitarra (Grupo 1)</t>
  </si>
  <si>
    <t>Piano (Grupo 2)  | Guitarra (Grupo 2)</t>
  </si>
  <si>
    <t>Guitarra (Grupo 2)</t>
  </si>
  <si>
    <t>G</t>
  </si>
  <si>
    <t>Canto Grupo 1</t>
  </si>
  <si>
    <t>Gael Caldera Torres</t>
  </si>
  <si>
    <t>449 498 7850</t>
  </si>
  <si>
    <t>Santiago Caldera Torres</t>
  </si>
  <si>
    <t>Alejandro Rangel Duron</t>
  </si>
  <si>
    <t>Mayra Alicia Duron Perez</t>
  </si>
  <si>
    <t>449 217 3374</t>
  </si>
  <si>
    <t>N/A</t>
  </si>
  <si>
    <t>Albeto</t>
  </si>
  <si>
    <t>15</t>
  </si>
  <si>
    <t>17</t>
  </si>
  <si>
    <t>19</t>
  </si>
  <si>
    <t>22</t>
  </si>
  <si>
    <t>24</t>
  </si>
  <si>
    <t>26</t>
  </si>
  <si>
    <t>29</t>
  </si>
  <si>
    <t>31</t>
  </si>
  <si>
    <t>2</t>
  </si>
  <si>
    <t>5</t>
  </si>
  <si>
    <t>7</t>
  </si>
  <si>
    <t>9</t>
  </si>
  <si>
    <t>Juan Alberto Rodriguez</t>
  </si>
  <si>
    <t>Fernando Olmos</t>
  </si>
  <si>
    <t>Valentin Hernandez</t>
  </si>
  <si>
    <t>16</t>
  </si>
  <si>
    <t>18</t>
  </si>
  <si>
    <t>23</t>
  </si>
  <si>
    <t>25</t>
  </si>
  <si>
    <t>27</t>
  </si>
  <si>
    <t>30</t>
  </si>
  <si>
    <t>1</t>
  </si>
  <si>
    <t>Curso de verano 2024</t>
  </si>
  <si>
    <t>Raymundo de Luna</t>
  </si>
  <si>
    <t>Karina Amezcua Goona</t>
  </si>
  <si>
    <t>Dalia Lucia Iturbe Carrera</t>
  </si>
  <si>
    <t>333 441 2111</t>
  </si>
  <si>
    <t>Enrique Iturbe Gutierrez</t>
  </si>
  <si>
    <t>333 856 7931</t>
  </si>
  <si>
    <t>Total general</t>
  </si>
  <si>
    <t>Das</t>
  </si>
  <si>
    <t>Israel Cornejo Ruvalcaba</t>
  </si>
  <si>
    <t>Jose Manuel Gonzalez Hijo</t>
  </si>
  <si>
    <t>Jose Manuel Gonzalez Papá</t>
  </si>
  <si>
    <t>Padre</t>
  </si>
  <si>
    <t>Madre</t>
  </si>
  <si>
    <t>Nombre Padre</t>
  </si>
  <si>
    <t>Nombre Mdre</t>
  </si>
  <si>
    <t>Silvia Osuna</t>
  </si>
  <si>
    <t xml:space="preserve">Eduardo Samaniego </t>
  </si>
  <si>
    <t xml:space="preserve">Tania Fabiola de la Cerda Flores </t>
  </si>
  <si>
    <t>José de Jesús García Enríquez</t>
  </si>
  <si>
    <t xml:space="preserve">María Guadalupe Hernández Ruiz </t>
  </si>
  <si>
    <t>Uriel Hugo Aguilar Zacarias</t>
  </si>
  <si>
    <t xml:space="preserve">Anyely Cruz </t>
  </si>
  <si>
    <t>Daniel Gutierrez</t>
  </si>
  <si>
    <t>León Serna</t>
  </si>
  <si>
    <t>Karina Medina Palacios</t>
  </si>
  <si>
    <t>Carlos Alberto Rodríguez Zapata</t>
  </si>
  <si>
    <t>Ricardo Cuenca Verduzco</t>
  </si>
  <si>
    <t>Ana Lilia Muñoz</t>
  </si>
  <si>
    <t>449 173 4157</t>
  </si>
  <si>
    <t>55 2855 1108</t>
  </si>
  <si>
    <t>Comp</t>
  </si>
  <si>
    <t>Baja Temporal M12</t>
  </si>
  <si>
    <t>Baja Temporal M9</t>
  </si>
  <si>
    <t>año</t>
  </si>
  <si>
    <t>yr</t>
  </si>
  <si>
    <t>Maria Fernanda Zepeda Alonso</t>
  </si>
  <si>
    <t>Raúl Limón de la Cruz</t>
  </si>
  <si>
    <t>449 565 7591</t>
  </si>
  <si>
    <t>Andrea Ávila Alanis</t>
  </si>
  <si>
    <t>449 217 3874</t>
  </si>
  <si>
    <t>449 372 1513</t>
  </si>
  <si>
    <t>dt</t>
  </si>
  <si>
    <t>}=SI([@PROFESOR]=I12,AK12,AK12+1)</t>
  </si>
  <si>
    <t>449 324 4806</t>
  </si>
  <si>
    <t>Tania Fernanda Oropeza Duron</t>
  </si>
  <si>
    <t>Claudia Estefania Hernández Esparza</t>
  </si>
  <si>
    <t>449 104 6723</t>
  </si>
  <si>
    <t>Claudia Patricia Esparza Rodriguez</t>
  </si>
  <si>
    <t>Violín</t>
  </si>
  <si>
    <t>Juan Carlos Guzmán Hernandez</t>
  </si>
  <si>
    <t>Oscar Abraham Flores Ortiz</t>
  </si>
  <si>
    <t>449 406 2774</t>
  </si>
  <si>
    <t>Oscar Omar Flores Nuñez</t>
  </si>
  <si>
    <t>449 173 8144</t>
  </si>
  <si>
    <t>Hector Santos Pinto</t>
  </si>
  <si>
    <t>Claudia Elizabeth Pinto Lopez Guerrero</t>
  </si>
  <si>
    <t>Hector Santo Gómez</t>
  </si>
  <si>
    <t>449 448 0905</t>
  </si>
  <si>
    <t>Oscar Alejandro Mena Rodríguez</t>
  </si>
  <si>
    <t>Rosaura Rodriguez Avalos</t>
  </si>
  <si>
    <t>449 211 6583</t>
  </si>
  <si>
    <t>Oscar Gerardo Mena</t>
  </si>
  <si>
    <t>449 804 3761</t>
  </si>
  <si>
    <t>Alejandro Matias rangel Duron</t>
  </si>
  <si>
    <t>Rodrigo Dominguez Lopez</t>
  </si>
  <si>
    <t>Mes Actual</t>
  </si>
  <si>
    <t>Mes Pasado</t>
  </si>
  <si>
    <t>Ingresos Resumen</t>
  </si>
  <si>
    <t>Egresos Resumen</t>
  </si>
  <si>
    <t>N</t>
  </si>
  <si>
    <t>Ingresos</t>
  </si>
  <si>
    <t>Egresos</t>
  </si>
  <si>
    <t>Baja fknhd</t>
  </si>
  <si>
    <t>Abigail Miranda Sanchez</t>
  </si>
  <si>
    <t>Irma Mijares</t>
  </si>
  <si>
    <t/>
  </si>
  <si>
    <t>Angélica Elizabeth Valenciano Ramirez</t>
  </si>
  <si>
    <t>50% descuento</t>
  </si>
  <si>
    <t>Rosalinda Ramirez Vargas</t>
  </si>
  <si>
    <t>449 261 3155</t>
  </si>
  <si>
    <t>Lorena Ramirez Vargas</t>
  </si>
  <si>
    <t>Kimberly Garcia Preciado</t>
  </si>
  <si>
    <t>449 120 5981</t>
  </si>
  <si>
    <t>Mayra Elena Carillo Duran</t>
  </si>
  <si>
    <t>449 528 9980</t>
  </si>
  <si>
    <t>Si</t>
  </si>
  <si>
    <t>No</t>
  </si>
  <si>
    <t>Abril Danae Briano Reyes</t>
  </si>
  <si>
    <t>496 962 0159</t>
  </si>
  <si>
    <t>Liliana Mirella Reyes Herrera</t>
  </si>
  <si>
    <t>496 141 3173</t>
  </si>
  <si>
    <t>d</t>
  </si>
  <si>
    <t>Orlando Reyes</t>
  </si>
  <si>
    <t>Frida Zoe Jimenez Cruz</t>
  </si>
  <si>
    <t>Marque con estrella el número de la persona que se le notificarán los avisos via Whatsapp</t>
  </si>
  <si>
    <t>Carlos Perez</t>
  </si>
  <si>
    <t>449 110 7929</t>
  </si>
  <si>
    <t>Alejandra Pedroza</t>
  </si>
  <si>
    <t>449 100 3083</t>
  </si>
  <si>
    <t>449 346 6212</t>
  </si>
  <si>
    <t>Karla Jimenez Cruz</t>
  </si>
  <si>
    <t>449 209 6710</t>
  </si>
  <si>
    <t>Leonardo Daniel Ruano</t>
  </si>
  <si>
    <t>449 681 3952</t>
  </si>
  <si>
    <t>449 118 8792</t>
  </si>
  <si>
    <t>Gabriela Morales</t>
  </si>
  <si>
    <t>Roberto Gonzalez Martinez</t>
  </si>
  <si>
    <t>449 494 3433</t>
  </si>
  <si>
    <t>449 172 0942</t>
  </si>
  <si>
    <t>Efectivo</t>
  </si>
  <si>
    <t>Jorge Macias</t>
  </si>
  <si>
    <t>Trans</t>
  </si>
  <si>
    <t>Juan David González</t>
  </si>
  <si>
    <t>Lucía Jimenez</t>
  </si>
  <si>
    <t>449 276 0508</t>
  </si>
  <si>
    <t>Baja Temporal E1</t>
  </si>
  <si>
    <t>Baja temporal E1</t>
  </si>
  <si>
    <t>Telefono</t>
  </si>
  <si>
    <t>Johana Elisabet Reyes Torres</t>
  </si>
  <si>
    <t>449 911 3664</t>
  </si>
  <si>
    <t>Gloria Torres</t>
  </si>
  <si>
    <t>Estephanie</t>
  </si>
  <si>
    <t>Estrellita</t>
  </si>
  <si>
    <t>Litza Victoria Murillo Jimenez</t>
  </si>
  <si>
    <t>Comision Por alumno</t>
  </si>
  <si>
    <t>Antonio de Jesus Velázquez</t>
  </si>
  <si>
    <t>(  ) Iniciación</t>
  </si>
  <si>
    <t>Ana Jimena Oropesa López</t>
  </si>
  <si>
    <t>449 286 7290</t>
  </si>
  <si>
    <t>Status</t>
  </si>
  <si>
    <t>Etiquetas de fila</t>
  </si>
  <si>
    <t>Recuento de COMENTARIOS</t>
  </si>
  <si>
    <t>Jessica Arlette reyes Morales</t>
  </si>
  <si>
    <t>Ivan Alejandro Mora Sillas</t>
  </si>
  <si>
    <t>Pablo Mateo Martínez Juarez</t>
  </si>
  <si>
    <t>449 386 5369</t>
  </si>
  <si>
    <t xml:space="preserve">Juan Pablo Martinez </t>
  </si>
  <si>
    <t>NUMERO CONTACTO</t>
  </si>
  <si>
    <t>Baja Temporal</t>
  </si>
  <si>
    <t>Manuel Medina Terán</t>
  </si>
  <si>
    <t>Piano Start</t>
  </si>
  <si>
    <t>Clavinova</t>
  </si>
  <si>
    <t>Piano Adv</t>
  </si>
  <si>
    <t>Adultos Piano</t>
  </si>
  <si>
    <t>Ultimo Examen</t>
  </si>
  <si>
    <t>Siguiente examen</t>
  </si>
  <si>
    <t>Popular Piano</t>
  </si>
  <si>
    <t>|</t>
  </si>
  <si>
    <t>Rodrigo Ascencio Figueroa</t>
  </si>
  <si>
    <t>449 212 3307</t>
  </si>
  <si>
    <t>Gabriela Figueroa Reyes</t>
  </si>
  <si>
    <t>María Jose Arroyo Cervantes</t>
  </si>
  <si>
    <t>Martha Eugenia Nora</t>
  </si>
  <si>
    <t>449 129 5429</t>
  </si>
  <si>
    <t>Juan Jose Brian Flores</t>
  </si>
  <si>
    <t>0418 158 0017</t>
  </si>
  <si>
    <t>Jorge Nuñez Maldonado</t>
  </si>
  <si>
    <t>Ultimo registro</t>
  </si>
  <si>
    <t>R</t>
  </si>
  <si>
    <t>Claudia</t>
  </si>
  <si>
    <t>Jamie Alejandra Serrano Macías</t>
  </si>
  <si>
    <t>449 258 0555</t>
  </si>
  <si>
    <t>Arturo Serrano Galvan</t>
  </si>
  <si>
    <t>*</t>
  </si>
  <si>
    <t>Alicia López Abarca</t>
  </si>
  <si>
    <t>Francisco Javier López</t>
  </si>
  <si>
    <t>449 546 2030</t>
  </si>
  <si>
    <t>America Fernanda Cabral Vidales</t>
  </si>
  <si>
    <t>Alejandro ramirez Robledo</t>
  </si>
  <si>
    <t>T</t>
  </si>
  <si>
    <t>Music &amp; Friends</t>
  </si>
  <si>
    <t>Ernesto Macías González</t>
  </si>
  <si>
    <t>449 464 8288</t>
  </si>
  <si>
    <t>Emilia Aitana Mendoza Arjona G</t>
  </si>
  <si>
    <t>Sergio Alexis Andrade G</t>
  </si>
  <si>
    <t>Angélica Waldo Jonguitud</t>
  </si>
  <si>
    <t>449 366 0028</t>
  </si>
  <si>
    <t>Mérida Argentina Hernández Reyes</t>
  </si>
  <si>
    <t>Arturo Tellez</t>
  </si>
  <si>
    <t>Otilio Vazquez Martinez</t>
  </si>
  <si>
    <t>Satomi Kato</t>
  </si>
  <si>
    <t>Ritsuha Yokoi</t>
  </si>
  <si>
    <t>449 538 8876</t>
  </si>
  <si>
    <t>Maori Yokoi</t>
  </si>
  <si>
    <t>Matteo Macías Nemer</t>
  </si>
  <si>
    <t>Andrea Nemer</t>
  </si>
  <si>
    <t>449 191 3248</t>
  </si>
  <si>
    <t>493 112 9645</t>
  </si>
  <si>
    <t>Maria Eugenia Pérez Santacruz</t>
  </si>
  <si>
    <t>REPORT</t>
  </si>
  <si>
    <t>deberia</t>
  </si>
  <si>
    <t>Emma Alexis Calzada</t>
  </si>
  <si>
    <t>Erika Ruvalcaba</t>
  </si>
  <si>
    <t>449 588 6791</t>
  </si>
  <si>
    <t>P1</t>
  </si>
  <si>
    <t>MES PASADO</t>
  </si>
  <si>
    <t>alumnos MP</t>
  </si>
  <si>
    <t>last</t>
  </si>
  <si>
    <t>comovan</t>
  </si>
  <si>
    <t>Cursos de Primavera 2025 Registro</t>
  </si>
  <si>
    <t>Eugenia Paulina Ramírez Pérez</t>
  </si>
  <si>
    <t>Ramses Reyes Sanchez</t>
  </si>
  <si>
    <t>449 165 3507</t>
  </si>
  <si>
    <t>Bárbara Espinosa Anguiano</t>
  </si>
  <si>
    <t>449 753 9030</t>
  </si>
  <si>
    <t>Claudia Anguiano</t>
  </si>
  <si>
    <t>Juan Jesus Espinosa</t>
  </si>
  <si>
    <t xml:space="preserve"> 222 425 2959</t>
  </si>
  <si>
    <t>missi</t>
  </si>
  <si>
    <t>order</t>
  </si>
  <si>
    <t>Otilio Vazquez Martinez P</t>
  </si>
  <si>
    <t>449 585 5380</t>
  </si>
  <si>
    <t>Konzo Nao</t>
  </si>
  <si>
    <t>Orlando Reyes B</t>
  </si>
  <si>
    <t>Erika Liliam Romero Maza</t>
  </si>
  <si>
    <t>Bernardo Santos Carvalho de Souza</t>
  </si>
  <si>
    <t>Konzo Saki</t>
  </si>
  <si>
    <t>Viridiana Ramirez Pérez</t>
  </si>
  <si>
    <t>María del Coral Martínez Fanjul</t>
  </si>
  <si>
    <t>449 111 1753</t>
  </si>
  <si>
    <t>Hector Martinez Torres</t>
  </si>
  <si>
    <t>449 352 2373</t>
  </si>
  <si>
    <t>449 396 0332</t>
  </si>
  <si>
    <t>José Rodrigo Alba Mendoza</t>
  </si>
  <si>
    <t>449 181 5863</t>
  </si>
  <si>
    <t>Denisse</t>
  </si>
  <si>
    <t>Camila Villareal</t>
  </si>
  <si>
    <t>444 289 2241</t>
  </si>
  <si>
    <t>Samantha Zulibeth Rivas</t>
  </si>
  <si>
    <t>449 502 4352</t>
  </si>
  <si>
    <t>Gabriel Pereda Huerta</t>
  </si>
  <si>
    <t>Pablo Eduardo Zarza Martínez</t>
  </si>
  <si>
    <t>Octavio</t>
  </si>
  <si>
    <t>Rodrigo Bueno</t>
  </si>
  <si>
    <t>Romina Torres Rodriguez</t>
  </si>
  <si>
    <t>Luisa Rodriguez</t>
  </si>
  <si>
    <t>Jorge Torres</t>
  </si>
  <si>
    <t>449 115 1414</t>
  </si>
  <si>
    <t>449 165 6459</t>
  </si>
  <si>
    <t xml:space="preserve">Claudia Estefania Hernández Esparza </t>
  </si>
  <si>
    <t>Iniciación</t>
  </si>
  <si>
    <t>Santiago García</t>
  </si>
  <si>
    <t>Mauricio Martinez</t>
  </si>
  <si>
    <t>Ana Sofía Martinez</t>
  </si>
  <si>
    <t>Ana Lucía Martinez</t>
  </si>
  <si>
    <t>ALUMNO</t>
  </si>
  <si>
    <t>RECIBO ACTUAL</t>
  </si>
  <si>
    <t>RECIBO ANTERIOR</t>
  </si>
  <si>
    <t>CLASE</t>
  </si>
  <si>
    <t>Abierto a G</t>
  </si>
  <si>
    <t>Transf</t>
  </si>
  <si>
    <t>Oscar</t>
  </si>
  <si>
    <t>Forma Preferida de Pago</t>
  </si>
  <si>
    <t>Mensualidad</t>
  </si>
  <si>
    <t>Cuanto</t>
  </si>
  <si>
    <t>Indv.30</t>
  </si>
  <si>
    <t>Indv.45</t>
  </si>
  <si>
    <t>Estrellita50</t>
  </si>
  <si>
    <t>Comp50</t>
  </si>
  <si>
    <t>TRANSFERENCIA</t>
  </si>
  <si>
    <t>Transf/Efectivo</t>
  </si>
  <si>
    <t>Paloma Leyva Rodriguez</t>
  </si>
  <si>
    <t>Barbara Leyva Rodriguez</t>
  </si>
  <si>
    <t>55 3734 7031</t>
  </si>
  <si>
    <t>ID2</t>
  </si>
  <si>
    <t>0</t>
  </si>
  <si>
    <t>Examen</t>
  </si>
  <si>
    <t>Nivel</t>
  </si>
  <si>
    <t>EXAMEN</t>
  </si>
  <si>
    <t>cuantos</t>
  </si>
  <si>
    <t>Alicia Lopez Abarca</t>
  </si>
  <si>
    <t>449 101 1093</t>
  </si>
  <si>
    <t>Javier Ramirez Esparza</t>
  </si>
  <si>
    <t>First Name</t>
  </si>
  <si>
    <t>Middle Name</t>
  </si>
  <si>
    <t>Last Name</t>
  </si>
  <si>
    <t>Phonetic First Name</t>
  </si>
  <si>
    <t>Phonetic Middle Name</t>
  </si>
  <si>
    <t>Phonetic Last Name</t>
  </si>
  <si>
    <t>Name Prefix</t>
  </si>
  <si>
    <t>Name Suffix</t>
  </si>
  <si>
    <t>Nickname</t>
  </si>
  <si>
    <t>File As</t>
  </si>
  <si>
    <t>Organization Name</t>
  </si>
  <si>
    <t>Organization Title</t>
  </si>
  <si>
    <t>Organization Department</t>
  </si>
  <si>
    <t>Birthday</t>
  </si>
  <si>
    <t>Notes</t>
  </si>
  <si>
    <t>Photo</t>
  </si>
  <si>
    <t>Labels</t>
  </si>
  <si>
    <t>E-mail 1 - Label</t>
  </si>
  <si>
    <t>E-mail 1 - Value</t>
  </si>
  <si>
    <t>Phone 1 - Label</t>
  </si>
  <si>
    <t>Phone 1 - Value</t>
  </si>
  <si>
    <t>449 548 8690</t>
  </si>
  <si>
    <t>Ana Lucía de Alba Fernández</t>
  </si>
  <si>
    <t>395 114 5953</t>
  </si>
  <si>
    <t>D</t>
  </si>
  <si>
    <t>Efectivo/ Tarjeta</t>
  </si>
  <si>
    <t>Tarjeta/Efectivo</t>
  </si>
  <si>
    <t>Emilia Gonzalez Robles</t>
  </si>
  <si>
    <t>449 196 4990</t>
  </si>
  <si>
    <t>Maria Jose Gonzalez Robles</t>
  </si>
  <si>
    <t>Luisa Gonzalez</t>
  </si>
  <si>
    <t xml:space="preserve">Hernan de Alba </t>
  </si>
  <si>
    <t>2-Martes</t>
  </si>
  <si>
    <t>4-Jueves</t>
  </si>
  <si>
    <t>1-Lunes</t>
  </si>
  <si>
    <t>3-Miércoles</t>
  </si>
  <si>
    <t>baja</t>
  </si>
  <si>
    <t>Sofia Rodríguez Medina ASM</t>
  </si>
  <si>
    <t>Diego Rodríguez Medina ASM</t>
  </si>
  <si>
    <t>5-Viernes</t>
  </si>
  <si>
    <t>6-Sábado</t>
  </si>
  <si>
    <t>Ensamble</t>
  </si>
  <si>
    <t>Ensamble50</t>
  </si>
  <si>
    <t>Jamie Alejandra Serrano Macías ASM</t>
  </si>
  <si>
    <t>Juan Carlos Guzmán Hernandez ASM</t>
  </si>
  <si>
    <t>Aldo Esteban Davalos Lomeli</t>
  </si>
  <si>
    <t>449 206 6791</t>
  </si>
  <si>
    <t>Curso Regular Registro Marzo</t>
  </si>
  <si>
    <t>Diana Estefania Muñoz Hermosillo</t>
  </si>
  <si>
    <t>Saira</t>
  </si>
  <si>
    <t>449 427 6194</t>
  </si>
  <si>
    <t>Renata Zafara Escobar</t>
  </si>
  <si>
    <t>449 432 5995</t>
  </si>
  <si>
    <t>TRANSF</t>
  </si>
  <si>
    <t>Renata Zafara Escobar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</si>
</sst>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000\ 000\ 0000"/>
    <numFmt numFmtId="166" formatCode="yy\-\(m\)\ mmm"/>
    <numFmt numFmtId="167" formatCode="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onsolas"/>
      <family val="3"/>
    </font>
    <font>
      <sz val="8"/>
      <color rgb="FF000000"/>
      <name val="Segoe UI"/>
      <family val="2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sz val="12"/>
      <color rgb="FFE6E8F0"/>
      <name val="Courier New"/>
      <family val="3"/>
    </font>
    <font>
      <sz val="11"/>
      <color rgb="FFF2F2F2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A0F2F4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CE4D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06"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44" fontId="3" fillId="2" borderId="1" xfId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20" fontId="0" fillId="5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2" fillId="4" borderId="1" xfId="3" applyNumberFormat="1" applyFill="1" applyBorder="1" applyAlignment="1">
      <alignment horizontal="center" vertical="center"/>
    </xf>
    <xf numFmtId="44" fontId="0" fillId="7" borderId="1" xfId="1" applyFont="1" applyFill="1" applyBorder="1" applyAlignment="1">
      <alignment vertical="center"/>
    </xf>
    <xf numFmtId="164" fontId="0" fillId="7" borderId="1" xfId="0" applyNumberFormat="1" applyFill="1" applyBorder="1" applyAlignment="1">
      <alignment vertical="center"/>
    </xf>
    <xf numFmtId="164" fontId="0" fillId="7" borderId="1" xfId="1" applyNumberFormat="1" applyFont="1" applyFill="1" applyBorder="1" applyAlignment="1">
      <alignment vertical="center"/>
    </xf>
    <xf numFmtId="1" fontId="0" fillId="8" borderId="1" xfId="0" applyNumberFormat="1" applyFill="1" applyBorder="1" applyAlignment="1">
      <alignment horizontal="center" vertical="center"/>
    </xf>
    <xf numFmtId="44" fontId="0" fillId="7" borderId="1" xfId="1" applyFont="1" applyFill="1" applyBorder="1"/>
    <xf numFmtId="0" fontId="0" fillId="7" borderId="1" xfId="2" applyNumberFormat="1" applyFont="1" applyFill="1" applyBorder="1" applyAlignment="1">
      <alignment horizontal="center" vertical="center"/>
    </xf>
    <xf numFmtId="44" fontId="0" fillId="7" borderId="1" xfId="1" applyFont="1" applyFill="1" applyBorder="1" applyAlignment="1">
      <alignment horizontal="center" vertical="center"/>
    </xf>
    <xf numFmtId="0" fontId="0" fillId="7" borderId="1" xfId="1" applyNumberFormat="1" applyFont="1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 applyAlignment="1">
      <alignment horizontal="center" vertical="center"/>
    </xf>
    <xf numFmtId="14" fontId="2" fillId="4" borderId="1" xfId="3" applyNumberFormat="1" applyFill="1" applyBorder="1" applyAlignment="1">
      <alignment horizontal="center" vertical="center"/>
    </xf>
    <xf numFmtId="6" fontId="0" fillId="7" borderId="1" xfId="1" applyNumberFormat="1" applyFont="1" applyFill="1" applyBorder="1" applyAlignment="1">
      <alignment horizontal="center" vertical="center"/>
    </xf>
    <xf numFmtId="1" fontId="2" fillId="4" borderId="1" xfId="3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3" applyFill="1" applyBorder="1" applyAlignment="1">
      <alignment horizontal="center" vertical="center"/>
    </xf>
    <xf numFmtId="9" fontId="0" fillId="7" borderId="1" xfId="0" applyNumberFormat="1" applyFill="1" applyBorder="1"/>
    <xf numFmtId="0" fontId="0" fillId="7" borderId="1" xfId="0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14" fontId="0" fillId="7" borderId="1" xfId="0" applyNumberFormat="1" applyFill="1" applyBorder="1"/>
    <xf numFmtId="1" fontId="0" fillId="9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left" vertical="center" wrapText="1"/>
    </xf>
    <xf numFmtId="1" fontId="0" fillId="4" borderId="1" xfId="0" applyNumberFormat="1" applyFill="1" applyBorder="1" applyAlignment="1">
      <alignment horizontal="center" vertical="center" wrapText="1"/>
    </xf>
    <xf numFmtId="9" fontId="0" fillId="7" borderId="1" xfId="2" applyFont="1" applyFill="1" applyBorder="1" applyAlignment="1">
      <alignment vertical="center"/>
    </xf>
    <xf numFmtId="9" fontId="0" fillId="7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14" fontId="0" fillId="8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4" borderId="1" xfId="0" applyFill="1" applyBorder="1"/>
    <xf numFmtId="0" fontId="2" fillId="4" borderId="1" xfId="3" applyFill="1" applyBorder="1"/>
    <xf numFmtId="14" fontId="0" fillId="4" borderId="1" xfId="0" applyNumberFormat="1" applyFill="1" applyBorder="1"/>
    <xf numFmtId="6" fontId="0" fillId="7" borderId="1" xfId="0" applyNumberFormat="1" applyFill="1" applyBorder="1"/>
    <xf numFmtId="8" fontId="0" fillId="7" borderId="1" xfId="1" applyNumberFormat="1" applyFont="1" applyFill="1" applyBorder="1"/>
    <xf numFmtId="0" fontId="0" fillId="4" borderId="1" xfId="0" applyFill="1" applyBorder="1" applyAlignment="1">
      <alignment horizontal="center"/>
    </xf>
    <xf numFmtId="0" fontId="2" fillId="4" borderId="1" xfId="3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 vertical="center" wrapText="1"/>
    </xf>
    <xf numFmtId="6" fontId="0" fillId="7" borderId="1" xfId="0" applyNumberFormat="1" applyFill="1" applyBorder="1" applyAlignment="1">
      <alignment horizontal="center" vertical="center"/>
    </xf>
    <xf numFmtId="9" fontId="0" fillId="7" borderId="1" xfId="2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14" fontId="0" fillId="7" borderId="1" xfId="1" applyNumberFormat="1" applyFont="1" applyFill="1" applyBorder="1" applyAlignment="1">
      <alignment horizontal="center" vertical="center"/>
    </xf>
    <xf numFmtId="20" fontId="0" fillId="8" borderId="1" xfId="0" applyNumberFormat="1" applyFill="1" applyBorder="1" applyAlignment="1">
      <alignment horizontal="center" vertical="center"/>
    </xf>
    <xf numFmtId="44" fontId="0" fillId="8" borderId="1" xfId="1" applyFont="1" applyFill="1" applyBorder="1" applyAlignment="1">
      <alignment horizontal="center" vertical="center"/>
    </xf>
    <xf numFmtId="0" fontId="2" fillId="8" borderId="1" xfId="3" applyFill="1" applyBorder="1" applyAlignment="1">
      <alignment horizontal="center" vertical="center"/>
    </xf>
    <xf numFmtId="9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0" fillId="13" borderId="1" xfId="2" applyNumberFormat="1" applyFont="1" applyFill="1" applyBorder="1" applyAlignment="1">
      <alignment horizontal="center" vertical="center"/>
    </xf>
    <xf numFmtId="44" fontId="0" fillId="7" borderId="1" xfId="1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44" fontId="0" fillId="7" borderId="1" xfId="1" applyFont="1" applyFill="1" applyBorder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20" fontId="0" fillId="5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/>
    </xf>
    <xf numFmtId="44" fontId="0" fillId="7" borderId="1" xfId="0" applyNumberFormat="1" applyFill="1" applyBorder="1"/>
    <xf numFmtId="20" fontId="0" fillId="5" borderId="1" xfId="0" applyNumberFormat="1" applyFill="1" applyBorder="1"/>
    <xf numFmtId="0" fontId="3" fillId="2" borderId="2" xfId="0" applyFont="1" applyFill="1" applyBorder="1" applyAlignment="1">
      <alignment horizontal="center" vertical="center" wrapText="1"/>
    </xf>
    <xf numFmtId="1" fontId="8" fillId="2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/>
    </xf>
    <xf numFmtId="15" fontId="0" fillId="0" borderId="0" xfId="0" applyNumberFormat="1"/>
    <xf numFmtId="0" fontId="0" fillId="0" borderId="0" xfId="0" applyAlignment="1">
      <alignment horizontal="centerContinuous"/>
    </xf>
    <xf numFmtId="0" fontId="0" fillId="0" borderId="0" xfId="0" applyAlignment="1"/>
    <xf numFmtId="0" fontId="0" fillId="0" borderId="0" xfId="0" applyBorder="1"/>
    <xf numFmtId="0" fontId="0" fillId="0" borderId="0" xfId="0" applyBorder="1" applyAlignment="1"/>
    <xf numFmtId="0" fontId="0" fillId="0" borderId="1" xfId="0" applyBorder="1" applyAlignment="1"/>
    <xf numFmtId="0" fontId="0" fillId="0" borderId="1" xfId="0" applyBorder="1"/>
    <xf numFmtId="0" fontId="0" fillId="0" borderId="3" xfId="0" applyBorder="1"/>
    <xf numFmtId="16" fontId="0" fillId="0" borderId="0" xfId="0" applyNumberFormat="1"/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0" xfId="0" quotePrefix="1" applyFont="1"/>
    <xf numFmtId="0" fontId="0" fillId="0" borderId="0" xfId="0" applyNumberFormat="1"/>
    <xf numFmtId="1" fontId="0" fillId="8" borderId="0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16" borderId="1" xfId="0" applyFill="1" applyBorder="1" applyAlignment="1">
      <alignment horizontal="center" vertical="center"/>
    </xf>
    <xf numFmtId="6" fontId="0" fillId="7" borderId="1" xfId="1" applyNumberFormat="1" applyFont="1" applyFill="1" applyBorder="1" applyAlignment="1">
      <alignment horizontal="center"/>
    </xf>
    <xf numFmtId="0" fontId="0" fillId="0" borderId="0" xfId="0" applyFont="1"/>
    <xf numFmtId="0" fontId="9" fillId="5" borderId="1" xfId="0" applyFont="1" applyFill="1" applyBorder="1" applyAlignment="1">
      <alignment horizontal="left" vertical="center"/>
    </xf>
    <xf numFmtId="0" fontId="0" fillId="5" borderId="0" xfId="0" applyFill="1"/>
    <xf numFmtId="0" fontId="9" fillId="5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0" fillId="17" borderId="0" xfId="0" applyFont="1" applyFill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/>
    </xf>
    <xf numFmtId="0" fontId="0" fillId="5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center" vertical="center"/>
    </xf>
    <xf numFmtId="0" fontId="1" fillId="7" borderId="1" xfId="1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ill="1"/>
    <xf numFmtId="0" fontId="0" fillId="5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Continuous"/>
    </xf>
    <xf numFmtId="20" fontId="0" fillId="5" borderId="1" xfId="0" applyNumberFormat="1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left" vertical="center"/>
    </xf>
    <xf numFmtId="20" fontId="0" fillId="5" borderId="10" xfId="0" applyNumberFormat="1" applyFont="1" applyFill="1" applyBorder="1" applyAlignment="1">
      <alignment horizontal="center" vertical="center"/>
    </xf>
    <xf numFmtId="2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2" xfId="0" applyFill="1" applyBorder="1"/>
    <xf numFmtId="0" fontId="0" fillId="18" borderId="1" xfId="0" applyFont="1" applyFill="1" applyBorder="1" applyAlignment="1">
      <alignment horizontal="center" vertical="center"/>
    </xf>
    <xf numFmtId="0" fontId="0" fillId="18" borderId="10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Continuous"/>
    </xf>
    <xf numFmtId="0" fontId="0" fillId="18" borderId="1" xfId="0" applyFill="1" applyBorder="1"/>
    <xf numFmtId="0" fontId="0" fillId="0" borderId="1" xfId="0" applyBorder="1" applyAlignment="1">
      <alignment horizontal="centerContinuous"/>
    </xf>
    <xf numFmtId="0" fontId="0" fillId="18" borderId="10" xfId="0" applyFill="1" applyBorder="1"/>
    <xf numFmtId="0" fontId="0" fillId="5" borderId="12" xfId="0" applyFill="1" applyBorder="1" applyAlignment="1">
      <alignment horizontal="centerContinuous"/>
    </xf>
    <xf numFmtId="0" fontId="0" fillId="5" borderId="3" xfId="0" applyFill="1" applyBorder="1" applyAlignment="1">
      <alignment horizontal="centerContinuous"/>
    </xf>
    <xf numFmtId="0" fontId="0" fillId="0" borderId="0" xfId="0" applyFill="1" applyBorder="1" applyAlignment="1"/>
    <xf numFmtId="0" fontId="0" fillId="0" borderId="2" xfId="0" applyFont="1" applyFill="1" applyBorder="1"/>
    <xf numFmtId="20" fontId="0" fillId="5" borderId="10" xfId="0" applyNumberFormat="1" applyFill="1" applyBorder="1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0" fillId="0" borderId="0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2" fillId="4" borderId="1" xfId="3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 vertical="center" wrapText="1"/>
    </xf>
    <xf numFmtId="165" fontId="0" fillId="4" borderId="1" xfId="0" applyNumberFormat="1" applyFill="1" applyBorder="1"/>
    <xf numFmtId="0" fontId="1" fillId="4" borderId="1" xfId="3" applyNumberFormat="1" applyFont="1" applyFill="1" applyBorder="1" applyAlignment="1">
      <alignment horizontal="center" vertical="center"/>
    </xf>
    <xf numFmtId="20" fontId="0" fillId="0" borderId="10" xfId="0" applyNumberFormat="1" applyFill="1" applyBorder="1"/>
    <xf numFmtId="0" fontId="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7" borderId="1" xfId="1" applyNumberFormat="1" applyFont="1" applyFill="1" applyBorder="1" applyAlignment="1">
      <alignment vertical="center"/>
    </xf>
    <xf numFmtId="0" fontId="0" fillId="7" borderId="1" xfId="0" applyNumberFormat="1" applyFill="1" applyBorder="1" applyAlignment="1">
      <alignment horizontal="center" vertical="center"/>
    </xf>
    <xf numFmtId="0" fontId="0" fillId="7" borderId="1" xfId="0" applyNumberFormat="1" applyFill="1" applyBorder="1"/>
    <xf numFmtId="0" fontId="0" fillId="7" borderId="1" xfId="1" applyNumberFormat="1" applyFont="1" applyFill="1" applyBorder="1"/>
    <xf numFmtId="0" fontId="0" fillId="7" borderId="1" xfId="0" applyNumberFormat="1" applyFill="1" applyBorder="1" applyAlignment="1">
      <alignment vertical="center"/>
    </xf>
    <xf numFmtId="14" fontId="0" fillId="7" borderId="1" xfId="0" applyNumberFormat="1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14" fontId="0" fillId="7" borderId="1" xfId="0" applyNumberFormat="1" applyFont="1" applyFill="1" applyBorder="1" applyAlignment="1">
      <alignment horizontal="center"/>
    </xf>
    <xf numFmtId="0" fontId="0" fillId="0" borderId="1" xfId="0" applyFont="1" applyFill="1" applyBorder="1"/>
    <xf numFmtId="0" fontId="0" fillId="0" borderId="5" xfId="0" applyFill="1" applyBorder="1"/>
    <xf numFmtId="0" fontId="0" fillId="0" borderId="10" xfId="0" applyFont="1" applyFill="1" applyBorder="1"/>
    <xf numFmtId="0" fontId="0" fillId="0" borderId="7" xfId="0" applyFill="1" applyBorder="1"/>
    <xf numFmtId="14" fontId="1" fillId="7" borderId="1" xfId="1" applyNumberFormat="1" applyFont="1" applyFill="1" applyBorder="1" applyAlignment="1">
      <alignment horizontal="center" vertical="center"/>
    </xf>
    <xf numFmtId="14" fontId="0" fillId="0" borderId="0" xfId="0" applyNumberFormat="1"/>
    <xf numFmtId="6" fontId="0" fillId="7" borderId="1" xfId="1" applyNumberFormat="1" applyFont="1" applyFill="1" applyBorder="1"/>
    <xf numFmtId="0" fontId="0" fillId="8" borderId="1" xfId="0" applyFont="1" applyFill="1" applyBorder="1" applyAlignment="1">
      <alignment horizontal="center"/>
    </xf>
    <xf numFmtId="1" fontId="0" fillId="8" borderId="1" xfId="0" applyNumberFormat="1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1" fontId="0" fillId="8" borderId="1" xfId="0" applyNumberFormat="1" applyFont="1" applyFill="1" applyBorder="1" applyAlignment="1">
      <alignment horizontal="center"/>
    </xf>
    <xf numFmtId="1" fontId="0" fillId="8" borderId="1" xfId="0" applyNumberFormat="1" applyFont="1" applyFill="1" applyBorder="1" applyAlignment="1">
      <alignment horizontal="center" vertical="center" wrapText="1"/>
    </xf>
    <xf numFmtId="1" fontId="0" fillId="8" borderId="11" xfId="0" applyNumberFormat="1" applyFont="1" applyFill="1" applyBorder="1" applyAlignment="1">
      <alignment horizontal="center" vertical="center"/>
    </xf>
    <xf numFmtId="1" fontId="0" fillId="8" borderId="11" xfId="0" applyNumberFormat="1" applyFont="1" applyFill="1" applyBorder="1" applyAlignment="1">
      <alignment horizontal="center" vertical="center" wrapText="1"/>
    </xf>
    <xf numFmtId="1" fontId="0" fillId="8" borderId="0" xfId="0" applyNumberForma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left" vertical="center"/>
    </xf>
    <xf numFmtId="44" fontId="0" fillId="0" borderId="0" xfId="1" applyFont="1"/>
    <xf numFmtId="14" fontId="0" fillId="7" borderId="0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/>
    </xf>
    <xf numFmtId="166" fontId="0" fillId="4" borderId="1" xfId="0" applyNumberFormat="1" applyFont="1" applyFill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166" fontId="0" fillId="4" borderId="0" xfId="0" applyNumberForma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0" fillId="20" borderId="1" xfId="0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0" fontId="0" fillId="7" borderId="0" xfId="0" applyFill="1" applyBorder="1"/>
    <xf numFmtId="20" fontId="0" fillId="5" borderId="0" xfId="0" applyNumberForma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5" fontId="0" fillId="4" borderId="0" xfId="0" applyNumberFormat="1" applyFill="1" applyBorder="1"/>
    <xf numFmtId="165" fontId="0" fillId="4" borderId="0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2" fillId="4" borderId="5" xfId="3" applyFill="1" applyBorder="1" applyAlignment="1">
      <alignment horizontal="center"/>
    </xf>
    <xf numFmtId="0" fontId="2" fillId="4" borderId="0" xfId="3" applyFill="1" applyBorder="1" applyAlignment="1">
      <alignment horizontal="center"/>
    </xf>
    <xf numFmtId="14" fontId="0" fillId="4" borderId="0" xfId="0" applyNumberFormat="1" applyFill="1" applyBorder="1" applyAlignment="1">
      <alignment horizontal="center"/>
    </xf>
    <xf numFmtId="44" fontId="0" fillId="7" borderId="0" xfId="0" applyNumberFormat="1" applyFill="1" applyBorder="1"/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1" xfId="0" applyNumberForma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0" fontId="13" fillId="0" borderId="0" xfId="0" applyFont="1"/>
    <xf numFmtId="0" fontId="2" fillId="4" borderId="5" xfId="3" applyFill="1" applyBorder="1" applyAlignment="1">
      <alignment horizontal="center" vertical="center"/>
    </xf>
    <xf numFmtId="14" fontId="1" fillId="4" borderId="1" xfId="3" applyNumberFormat="1" applyFont="1" applyFill="1" applyBorder="1" applyAlignment="1">
      <alignment horizontal="center"/>
    </xf>
    <xf numFmtId="1" fontId="0" fillId="8" borderId="11" xfId="0" applyNumberFormat="1" applyFont="1" applyFill="1" applyBorder="1" applyAlignment="1">
      <alignment horizontal="center"/>
    </xf>
    <xf numFmtId="1" fontId="0" fillId="8" borderId="0" xfId="0" applyNumberFormat="1" applyFont="1" applyFill="1" applyBorder="1" applyAlignment="1">
      <alignment horizontal="center" vertical="center"/>
    </xf>
    <xf numFmtId="0" fontId="0" fillId="7" borderId="5" xfId="0" applyFill="1" applyBorder="1"/>
    <xf numFmtId="0" fontId="0" fillId="17" borderId="0" xfId="0" applyFill="1"/>
    <xf numFmtId="0" fontId="16" fillId="17" borderId="0" xfId="0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167" fontId="0" fillId="0" borderId="0" xfId="0" applyNumberFormat="1" applyFont="1" applyBorder="1" applyAlignment="1">
      <alignment horizontal="center" vertical="center"/>
    </xf>
    <xf numFmtId="0" fontId="0" fillId="20" borderId="10" xfId="0" applyFill="1" applyBorder="1" applyAlignment="1">
      <alignment horizontal="center"/>
    </xf>
    <xf numFmtId="0" fontId="0" fillId="0" borderId="10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left"/>
    </xf>
    <xf numFmtId="0" fontId="0" fillId="14" borderId="7" xfId="0" applyFill="1" applyBorder="1" applyAlignment="1">
      <alignment horizontal="center"/>
    </xf>
    <xf numFmtId="0" fontId="0" fillId="7" borderId="7" xfId="0" applyFill="1" applyBorder="1"/>
    <xf numFmtId="0" fontId="0" fillId="5" borderId="7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2" fillId="4" borderId="7" xfId="3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7" borderId="10" xfId="0" applyFill="1" applyBorder="1"/>
    <xf numFmtId="44" fontId="0" fillId="7" borderId="10" xfId="1" applyFont="1" applyFill="1" applyBorder="1"/>
    <xf numFmtId="44" fontId="0" fillId="7" borderId="10" xfId="0" applyNumberFormat="1" applyFill="1" applyBorder="1"/>
    <xf numFmtId="0" fontId="0" fillId="8" borderId="10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7" borderId="1" xfId="1" applyNumberFormat="1" applyFont="1" applyFill="1" applyBorder="1" applyAlignment="1">
      <alignment horizontal="center"/>
    </xf>
    <xf numFmtId="14" fontId="2" fillId="4" borderId="1" xfId="3" applyNumberFormat="1" applyFill="1" applyBorder="1" applyAlignment="1">
      <alignment horizontal="center"/>
    </xf>
    <xf numFmtId="0" fontId="0" fillId="20" borderId="1" xfId="0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44" fontId="0" fillId="7" borderId="12" xfId="0" applyNumberFormat="1" applyFill="1" applyBorder="1"/>
    <xf numFmtId="1" fontId="0" fillId="4" borderId="1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20" fontId="0" fillId="5" borderId="0" xfId="0" applyNumberForma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 wrapText="1"/>
    </xf>
    <xf numFmtId="165" fontId="0" fillId="4" borderId="5" xfId="0" applyNumberFormat="1" applyFill="1" applyBorder="1"/>
    <xf numFmtId="44" fontId="0" fillId="7" borderId="0" xfId="1" applyFont="1" applyFill="1" applyBorder="1" applyAlignment="1">
      <alignment horizontal="center" vertical="center"/>
    </xf>
    <xf numFmtId="0" fontId="0" fillId="7" borderId="0" xfId="1" applyNumberFormat="1" applyFont="1" applyFill="1" applyBorder="1" applyAlignment="1">
      <alignment horizontal="center" vertical="center"/>
    </xf>
    <xf numFmtId="1" fontId="2" fillId="4" borderId="5" xfId="3" applyNumberFormat="1" applyFill="1" applyBorder="1" applyAlignment="1">
      <alignment horizontal="center" vertical="center"/>
    </xf>
    <xf numFmtId="166" fontId="0" fillId="4" borderId="14" xfId="0" applyNumberFormat="1" applyFill="1" applyBorder="1"/>
    <xf numFmtId="166" fontId="0" fillId="4" borderId="0" xfId="0" applyNumberFormat="1" applyFont="1" applyFill="1" applyBorder="1" applyAlignment="1">
      <alignment horizontal="center"/>
    </xf>
    <xf numFmtId="44" fontId="0" fillId="7" borderId="0" xfId="1" applyFont="1" applyFill="1" applyBorder="1" applyAlignment="1">
      <alignment horizontal="center"/>
    </xf>
    <xf numFmtId="44" fontId="0" fillId="7" borderId="0" xfId="1" applyFont="1" applyFill="1" applyBorder="1"/>
    <xf numFmtId="0" fontId="7" fillId="0" borderId="0" xfId="0" quotePrefix="1" applyFont="1"/>
    <xf numFmtId="0" fontId="18" fillId="12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left"/>
    </xf>
    <xf numFmtId="0" fontId="0" fillId="7" borderId="1" xfId="0" applyFont="1" applyFill="1" applyBorder="1"/>
    <xf numFmtId="0" fontId="0" fillId="7" borderId="1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 vertical="center"/>
    </xf>
    <xf numFmtId="167" fontId="0" fillId="0" borderId="1" xfId="0" applyNumberFormat="1" applyFont="1" applyBorder="1" applyAlignment="1">
      <alignment horizontal="center" vertical="center"/>
    </xf>
    <xf numFmtId="0" fontId="0" fillId="21" borderId="1" xfId="0" applyFill="1" applyBorder="1" applyAlignment="1">
      <alignment horizontal="center"/>
    </xf>
    <xf numFmtId="166" fontId="0" fillId="4" borderId="1" xfId="0" applyNumberFormat="1" applyFill="1" applyBorder="1"/>
    <xf numFmtId="0" fontId="0" fillId="22" borderId="1" xfId="0" applyFill="1" applyBorder="1" applyAlignment="1">
      <alignment horizontal="left"/>
    </xf>
    <xf numFmtId="0" fontId="0" fillId="19" borderId="1" xfId="0" applyFill="1" applyBorder="1" applyAlignment="1">
      <alignment horizontal="center"/>
    </xf>
    <xf numFmtId="0" fontId="0" fillId="23" borderId="1" xfId="0" applyFill="1" applyBorder="1"/>
    <xf numFmtId="0" fontId="0" fillId="22" borderId="1" xfId="0" applyFill="1" applyBorder="1" applyAlignment="1">
      <alignment horizontal="center"/>
    </xf>
    <xf numFmtId="0" fontId="0" fillId="24" borderId="1" xfId="0" applyFill="1" applyBorder="1"/>
    <xf numFmtId="14" fontId="0" fillId="24" borderId="1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 vertical="center" wrapText="1"/>
    </xf>
    <xf numFmtId="14" fontId="0" fillId="4" borderId="0" xfId="0" applyNumberFormat="1" applyFill="1" applyBorder="1" applyAlignment="1">
      <alignment horizontal="center" vertical="center"/>
    </xf>
    <xf numFmtId="0" fontId="2" fillId="4" borderId="0" xfId="3" applyFill="1" applyBorder="1" applyAlignment="1">
      <alignment horizontal="center" vertical="center"/>
    </xf>
    <xf numFmtId="1" fontId="0" fillId="8" borderId="0" xfId="0" applyNumberFormat="1" applyFill="1" applyBorder="1" applyAlignment="1">
      <alignment horizontal="center" vertical="center" wrapText="1"/>
    </xf>
    <xf numFmtId="6" fontId="0" fillId="7" borderId="0" xfId="1" applyNumberFormat="1" applyFont="1" applyFill="1" applyBorder="1"/>
    <xf numFmtId="0" fontId="20" fillId="0" borderId="0" xfId="0" applyFont="1"/>
    <xf numFmtId="0" fontId="21" fillId="12" borderId="1" xfId="0" applyFont="1" applyFill="1" applyBorder="1" applyAlignment="1">
      <alignment horizontal="center"/>
    </xf>
    <xf numFmtId="20" fontId="0" fillId="22" borderId="1" xfId="0" applyNumberForma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20" fontId="0" fillId="22" borderId="1" xfId="0" applyNumberFormat="1" applyFill="1" applyBorder="1"/>
    <xf numFmtId="0" fontId="0" fillId="22" borderId="1" xfId="0" applyFill="1" applyBorder="1"/>
    <xf numFmtId="167" fontId="0" fillId="0" borderId="0" xfId="0" applyNumberFormat="1" applyBorder="1" applyAlignment="1">
      <alignment horizontal="center"/>
    </xf>
    <xf numFmtId="167" fontId="0" fillId="0" borderId="1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0" fillId="10" borderId="1" xfId="0" applyFill="1" applyBorder="1" applyAlignment="1">
      <alignment horizontal="center"/>
    </xf>
    <xf numFmtId="14" fontId="0" fillId="7" borderId="5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1" xfId="0" applyFon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0" fillId="0" borderId="10" xfId="0" applyBorder="1" applyAlignment="1">
      <alignment horizontal="center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128"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>
        <right style="thin">
          <color indexed="64"/>
        </right>
      </border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 val="0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8" formatCode="h:mm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 val="0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8" formatCode="h:mm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yy\-\(m\)\ mmm"/>
      <fill>
        <patternFill patternType="solid">
          <fgColor indexed="64"/>
          <bgColor theme="5" tint="0.79998168889431442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000"/>
      <alignment horizontal="center" vertical="bottom" textRotation="0" wrapText="0" indent="0" justifyLastLine="0" shrinkToFit="0" readingOrder="0"/>
    </dxf>
    <dxf>
      <font>
        <i val="0"/>
      </font>
      <numFmt numFmtId="167" formatCode="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4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7/relationships/slicerCache" Target="slicerCaches/slicerCache8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openxmlformats.org/officeDocument/2006/relationships/powerPivotData" Target="model/item.data"/><Relationship Id="rId10" Type="http://schemas.microsoft.com/office/2007/relationships/slicerCache" Target="slicerCaches/slicerCache1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5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fmlaLink="$M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95250</xdr:rowOff>
        </xdr:from>
        <xdr:to>
          <xdr:col>3</xdr:col>
          <xdr:colOff>57150</xdr:colOff>
          <xdr:row>4</xdr:row>
          <xdr:rowOff>57150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dondevan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103714</xdr:colOff>
      <xdr:row>0</xdr:row>
      <xdr:rowOff>27215</xdr:rowOff>
    </xdr:from>
    <xdr:to>
      <xdr:col>10</xdr:col>
      <xdr:colOff>664788</xdr:colOff>
      <xdr:row>6</xdr:row>
      <xdr:rowOff>46265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TUACIÓN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4678" y="27215"/>
              <a:ext cx="5446039" cy="1162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221709</xdr:colOff>
      <xdr:row>5</xdr:row>
      <xdr:rowOff>122946</xdr:rowOff>
    </xdr:from>
    <xdr:to>
      <xdr:col>11</xdr:col>
      <xdr:colOff>462821</xdr:colOff>
      <xdr:row>12</xdr:row>
      <xdr:rowOff>180096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ÉTODO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2209" y="1075446"/>
              <a:ext cx="1833148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131884</xdr:colOff>
      <xdr:row>0</xdr:row>
      <xdr:rowOff>111130</xdr:rowOff>
    </xdr:from>
    <xdr:to>
      <xdr:col>6</xdr:col>
      <xdr:colOff>317397</xdr:colOff>
      <xdr:row>10</xdr:row>
      <xdr:rowOff>54428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Das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6384" y="111130"/>
              <a:ext cx="1831977" cy="18482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238504</xdr:colOff>
      <xdr:row>5</xdr:row>
      <xdr:rowOff>4885</xdr:rowOff>
    </xdr:from>
    <xdr:to>
      <xdr:col>7</xdr:col>
      <xdr:colOff>423096</xdr:colOff>
      <xdr:row>11</xdr:row>
      <xdr:rowOff>29538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Yapa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00111" y="957385"/>
              <a:ext cx="1831056" cy="11676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544527</xdr:colOff>
      <xdr:row>5</xdr:row>
      <xdr:rowOff>149038</xdr:rowOff>
    </xdr:from>
    <xdr:to>
      <xdr:col>8</xdr:col>
      <xdr:colOff>2041072</xdr:colOff>
      <xdr:row>12</xdr:row>
      <xdr:rowOff>40821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CURSO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598" y="1101538"/>
              <a:ext cx="2435438" cy="12252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</xdr:row>
          <xdr:rowOff>9525</xdr:rowOff>
        </xdr:from>
        <xdr:to>
          <xdr:col>13</xdr:col>
          <xdr:colOff>819150</xdr:colOff>
          <xdr:row>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536902</xdr:colOff>
      <xdr:row>0</xdr:row>
      <xdr:rowOff>0</xdr:rowOff>
    </xdr:from>
    <xdr:to>
      <xdr:col>11</xdr:col>
      <xdr:colOff>51246</xdr:colOff>
      <xdr:row>3</xdr:row>
      <xdr:rowOff>155370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0663" y="0"/>
          <a:ext cx="2131648" cy="7268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499532</xdr:colOff>
      <xdr:row>19</xdr:row>
      <xdr:rowOff>173567</xdr:rowOff>
    </xdr:from>
    <xdr:to>
      <xdr:col>15</xdr:col>
      <xdr:colOff>767290</xdr:colOff>
      <xdr:row>24</xdr:row>
      <xdr:rowOff>82550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ROFESOR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FE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63432" y="3793067"/>
              <a:ext cx="6163733" cy="8614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325967</xdr:colOff>
      <xdr:row>22</xdr:row>
      <xdr:rowOff>141818</xdr:rowOff>
    </xdr:from>
    <xdr:to>
      <xdr:col>7</xdr:col>
      <xdr:colOff>519642</xdr:colOff>
      <xdr:row>27</xdr:row>
      <xdr:rowOff>40218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#DE RECIBO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#DE RECIB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3792" y="4332818"/>
              <a:ext cx="6756400" cy="850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763057</xdr:colOff>
      <xdr:row>1</xdr:row>
      <xdr:rowOff>125941</xdr:rowOff>
    </xdr:from>
    <xdr:to>
      <xdr:col>15</xdr:col>
      <xdr:colOff>105832</xdr:colOff>
      <xdr:row>9</xdr:row>
      <xdr:rowOff>115358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Completo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26957" y="316441"/>
              <a:ext cx="5238750" cy="15134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1262063</xdr:colOff>
      <xdr:row>0</xdr:row>
      <xdr:rowOff>0</xdr:rowOff>
    </xdr:from>
    <xdr:to>
      <xdr:col>6</xdr:col>
      <xdr:colOff>1788812</xdr:colOff>
      <xdr:row>3</xdr:row>
      <xdr:rowOff>151003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4092" y="0"/>
          <a:ext cx="2117984" cy="72250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511969</xdr:colOff>
      <xdr:row>3</xdr:row>
      <xdr:rowOff>184051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73969" cy="75555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1262063</xdr:colOff>
      <xdr:row>0</xdr:row>
      <xdr:rowOff>0</xdr:rowOff>
    </xdr:from>
    <xdr:to>
      <xdr:col>5</xdr:col>
      <xdr:colOff>1788811</xdr:colOff>
      <xdr:row>3</xdr:row>
      <xdr:rowOff>151003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1641" y="0"/>
          <a:ext cx="2116233" cy="72250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511969</xdr:colOff>
      <xdr:row>3</xdr:row>
      <xdr:rowOff>184051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73969" cy="755551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NOVO" refreshedDate="45672.659213078703" backgroundQuery="1" createdVersion="7" refreshedVersion="7" minRefreshableVersion="3" recordCount="0" supportSubquery="1" supportAdvancedDrill="1" xr:uid="{EE3DAE37-D759-44A3-883B-63B96201ECC7}">
  <cacheSource type="external" connectionId="1"/>
  <cacheFields count="2">
    <cacheField name="[Tabla2].[COMENTARIOS].[COMENTARIOS]" caption="COMENTARIOS" numFmtId="0" hierarchy="33" level="1">
      <sharedItems count="4">
        <s v="Efectivo"/>
        <s v="Fer"/>
        <s v="Tarjeta"/>
        <s v="Trans"/>
      </sharedItems>
    </cacheField>
    <cacheField name="[Measures].[Recuento de COMENTARIOS]" caption="Recuento de COMENTARIOS" numFmtId="0" hierarchy="39" level="32767"/>
  </cacheFields>
  <cacheHierarchies count="40">
    <cacheHierarchy uniqueName="[Tabla2].[a]" caption="a" attribute="1" defaultMemberUniqueName="[Tabla2].[a].[All]" allUniqueName="[Tabla2].[a].[All]" dimensionUniqueName="[Tabla2]" displayFolder="" count="0" memberValueDatatype="130" unbalanced="0"/>
    <cacheHierarchy uniqueName="[Tabla2].[Status]" caption="Status" attribute="1" defaultMemberUniqueName="[Tabla2].[Status].[All]" allUniqueName="[Tabla2].[Status].[All]" dimensionUniqueName="[Tabla2]" displayFolder="" count="0" memberValueDatatype="130" unbalanced="0"/>
    <cacheHierarchy uniqueName="[Tabla2].[Yapa]" caption="Yapa" attribute="1" defaultMemberUniqueName="[Tabla2].[Yapa].[All]" allUniqueName="[Tabla2].[Yapa].[All]" dimensionUniqueName="[Tabla2]" displayFolder="" count="0" memberValueDatatype="130" unbalanced="0"/>
    <cacheHierarchy uniqueName="[Tabla2].[Das]" caption="Das" attribute="1" defaultMemberUniqueName="[Tabla2].[Das].[All]" allUniqueName="[Tabla2].[Das].[All]" dimensionUniqueName="[Tabla2]" displayFolder="" count="0" memberValueDatatype="130" unbalanced="0"/>
    <cacheHierarchy uniqueName="[Tabla2].[INICIO]" caption="INICIO" attribute="1" time="1" defaultMemberUniqueName="[Tabla2].[INICIO].[All]" allUniqueName="[Tabla2].[INICIO].[All]" dimensionUniqueName="[Tabla2]" displayFolder="" count="0" memberValueDatatype="7" unbalanced="0"/>
    <cacheHierarchy uniqueName="[Tabla2].[Completo]" caption="Completo" attribute="1" defaultMemberUniqueName="[Tabla2].[Completo].[All]" allUniqueName="[Tabla2].[Completo].[All]" dimensionUniqueName="[Tabla2]" displayFolder="" count="0" memberValueDatatype="130" unbalanced="0"/>
    <cacheHierarchy uniqueName="[Tabla2].[yr]" caption="yr" attribute="1" defaultMemberUniqueName="[Tabla2].[yr].[All]" allUniqueName="[Tabla2].[yr].[All]" dimensionUniqueName="[Tabla2]" displayFolder="" count="0" memberValueDatatype="130" unbalanced="0"/>
    <cacheHierarchy uniqueName="[Tabla2].[PROFESOR]" caption="PROFESOR" attribute="1" defaultMemberUniqueName="[Tabla2].[PROFESOR].[All]" allUniqueName="[Tabla2].[PROFESOR].[All]" dimensionUniqueName="[Tabla2]" displayFolder="" count="0" memberValueDatatype="130" unbalanced="0"/>
    <cacheHierarchy uniqueName="[Tabla2].[CURSO]" caption="CURSO" attribute="1" defaultMemberUniqueName="[Tabla2].[CURSO].[All]" allUniqueName="[Tabla2].[CURSO].[All]" dimensionUniqueName="[Tabla2]" displayFolder="" count="0" memberValueDatatype="130" unbalanced="0"/>
    <cacheHierarchy uniqueName="[Tabla2].[NIVEL]" caption="NIVEL" attribute="1" defaultMemberUniqueName="[Tabla2].[NIVEL].[All]" allUniqueName="[Tabla2].[NIVEL].[All]" dimensionUniqueName="[Tabla2]" displayFolder="" count="0" memberValueDatatype="130" unbalanced="0"/>
    <cacheHierarchy uniqueName="[Tabla2].[MÉTODO]" caption="MÉTODO" attribute="1" defaultMemberUniqueName="[Tabla2].[MÉTODO].[All]" allUniqueName="[Tabla2].[MÉTODO].[All]" dimensionUniqueName="[Tabla2]" displayFolder="" count="0" memberValueDatatype="130" unbalanced="0"/>
    <cacheHierarchy uniqueName="[Tabla2].[CLASIFICACIÓN]" caption="CLASIFICACIÓN" attribute="1" defaultMemberUniqueName="[Tabla2].[CLASIFICACIÓN].[All]" allUniqueName="[Tabla2].[CLASIFICACIÓN].[All]" dimensionUniqueName="[Tabla2]" displayFolder="" count="0" memberValueDatatype="130" unbalanced="0"/>
    <cacheHierarchy uniqueName="[Tabla2].[DÍA]" caption="DÍA" attribute="1" defaultMemberUniqueName="[Tabla2].[DÍA].[All]" allUniqueName="[Tabla2].[DÍA].[All]" dimensionUniqueName="[Tabla2]" displayFolder="" count="0" memberValueDatatype="130" unbalanced="0"/>
    <cacheHierarchy uniqueName="[Tabla2].[HORARIO]" caption="HORARIO" attribute="1" time="1" defaultMemberUniqueName="[Tabla2].[HORARIO].[All]" allUniqueName="[Tabla2].[HORARIO].[All]" dimensionUniqueName="[Tabla2]" displayFolder="" count="0" memberValueDatatype="7" unbalanced="0"/>
    <cacheHierarchy uniqueName="[Tabla2].[TIPO DE CLASE]" caption="TIPO DE CLASE" attribute="1" defaultMemberUniqueName="[Tabla2].[TIPO DE CLASE].[All]" allUniqueName="[Tabla2].[TIPO DE CLASE].[All]" dimensionUniqueName="[Tabla2]" displayFolder="" count="0" memberValueDatatype="130" unbalanced="0"/>
    <cacheHierarchy uniqueName="[Tabla2].[G]" caption="G" attribute="1" defaultMemberUniqueName="[Tabla2].[G].[All]" allUniqueName="[Tabla2].[G].[All]" dimensionUniqueName="[Tabla2]" displayFolder="" count="0" memberValueDatatype="130" unbalanced="0"/>
    <cacheHierarchy uniqueName="[Tabla2].[DURACIÓN]" caption="DURACIÓN" attribute="1" defaultMemberUniqueName="[Tabla2].[DURACIÓN].[All]" allUniqueName="[Tabla2].[DURACIÓN].[All]" dimensionUniqueName="[Tabla2]" displayFolder="" count="0" memberValueDatatype="20" unbalanced="0"/>
    <cacheHierarchy uniqueName="[Tabla2].[CEL ALUMNO]" caption="CEL ALUMNO" attribute="1" defaultMemberUniqueName="[Tabla2].[CEL ALUMNO].[All]" allUniqueName="[Tabla2].[CEL ALUMNO].[All]" dimensionUniqueName="[Tabla2]" displayFolder="" count="0" memberValueDatatype="130" unbalanced="0"/>
    <cacheHierarchy uniqueName="[Tabla2].[Nombre Mdre]" caption="Nombre Mdre" attribute="1" defaultMemberUniqueName="[Tabla2].[Nombre Mdre].[All]" allUniqueName="[Tabla2].[Nombre Mdre].[All]" dimensionUniqueName="[Tabla2]" displayFolder="" count="0" memberValueDatatype="130" unbalanced="0"/>
    <cacheHierarchy uniqueName="[Tabla2].[Madre]" caption="Madre" attribute="1" defaultMemberUniqueName="[Tabla2].[Madre].[All]" allUniqueName="[Tabla2].[Madre].[All]" dimensionUniqueName="[Tabla2]" displayFolder="" count="0" memberValueDatatype="130" unbalanced="0"/>
    <cacheHierarchy uniqueName="[Tabla2].[Nombre Padre]" caption="Nombre Padre" attribute="1" defaultMemberUniqueName="[Tabla2].[Nombre Padre].[All]" allUniqueName="[Tabla2].[Nombre Padre].[All]" dimensionUniqueName="[Tabla2]" displayFolder="" count="0" memberValueDatatype="130" unbalanced="0"/>
    <cacheHierarchy uniqueName="[Tabla2].[Padre]" caption="Padre" attribute="1" defaultMemberUniqueName="[Tabla2].[Padre].[All]" allUniqueName="[Tabla2].[Padre].[All]" dimensionUniqueName="[Tabla2]" displayFolder="" count="0" memberValueDatatype="130" unbalanced="0"/>
    <cacheHierarchy uniqueName="[Tabla2].[CORREO ELECTRÓNICO]" caption="CORREO ELECTRÓNICO" attribute="1" defaultMemberUniqueName="[Tabla2].[CORREO ELECTRÓNICO].[All]" allUniqueName="[Tabla2].[CORREO ELECTRÓNICO].[All]" dimensionUniqueName="[Tabla2]" displayFolder="" count="0" memberValueDatatype="130" unbalanced="0"/>
    <cacheHierarchy uniqueName="[Tabla2].[FECHA DE NACIMIENTO DEL ALUMNO]" caption="FECHA DE NACIMIENTO DEL ALUMNO" attribute="1" time="1" defaultMemberUniqueName="[Tabla2].[FECHA DE NACIMIENTO DEL ALUMNO].[All]" allUniqueName="[Tabla2].[FECHA DE NACIMIENTO DEL ALUMNO].[All]" dimensionUniqueName="[Tabla2]" displayFolder="" count="0" memberValueDatatype="7" unbalanced="0"/>
    <cacheHierarchy uniqueName="[Tabla2].[año]" caption="año" attribute="1" defaultMemberUniqueName="[Tabla2].[año].[All]" allUniqueName="[Tabla2].[año].[All]" dimensionUniqueName="[Tabla2]" displayFolder="" count="0" memberValueDatatype="130" unbalanced="0"/>
    <cacheHierarchy uniqueName="[Tabla2].[INSCRIPCIÓN]" caption="INSCRIPCIÓN" attribute="1" defaultMemberUniqueName="[Tabla2].[INSCRIPCIÓN].[All]" allUniqueName="[Tabla2].[INSCRIPCIÓN].[All]" dimensionUniqueName="[Tabla2]" displayFolder="" count="0" memberValueDatatype="20" unbalanced="0"/>
    <cacheHierarchy uniqueName="[Tabla2].[DESC.]" caption="DESC." attribute="1" defaultMemberUniqueName="[Tabla2].[DESC.].[All]" allUniqueName="[Tabla2].[DESC.].[All]" dimensionUniqueName="[Tabla2]" displayFolder="" count="0" memberValueDatatype="130" unbalanced="0"/>
    <cacheHierarchy uniqueName="[Tabla2].[PAGO DE INSC.]" caption="PAGO DE INSC." attribute="1" defaultMemberUniqueName="[Tabla2].[PAGO DE INSC.].[All]" allUniqueName="[Tabla2].[PAGO DE INSC.].[All]" dimensionUniqueName="[Tabla2]" displayFolder="" count="0" memberValueDatatype="130" unbalanced="0"/>
    <cacheHierarchy uniqueName="[Tabla2].[#DE RECIBO]" caption="#DE RECIBO" attribute="1" defaultMemberUniqueName="[Tabla2].[#DE RECIBO].[All]" allUniqueName="[Tabla2].[#DE RECIBO].[All]" dimensionUniqueName="[Tabla2]" displayFolder="" count="0" memberValueDatatype="130" unbalanced="0"/>
    <cacheHierarchy uniqueName="[Tabla2].[COLEGIATURA ANTERIOR]" caption="COLEGIATURA ANTERIOR" attribute="1" defaultMemberUniqueName="[Tabla2].[COLEGIATURA ANTERIOR].[All]" allUniqueName="[Tabla2].[COLEGIATURA ANTERIOR].[All]" dimensionUniqueName="[Tabla2]" displayFolder="" count="0" memberValueDatatype="20" unbalanced="0"/>
    <cacheHierarchy uniqueName="[Tabla2].[DESC.2]" caption="DESC.2" attribute="1" defaultMemberUniqueName="[Tabla2].[DESC.2].[All]" allUniqueName="[Tabla2].[DESC.2].[All]" dimensionUniqueName="[Tabla2]" displayFolder="" count="0" memberValueDatatype="130" unbalanced="0"/>
    <cacheHierarchy uniqueName="[Tabla2].[#DE RECIBO2]" caption="#DE RECIBO2" attribute="1" defaultMemberUniqueName="[Tabla2].[#DE RECIBO2].[All]" allUniqueName="[Tabla2].[#DE RECIBO2].[All]" dimensionUniqueName="[Tabla2]" displayFolder="" count="0" memberValueDatatype="130" unbalanced="0"/>
    <cacheHierarchy uniqueName="[Tabla2].[COLEGIATURA ACTUAL]" caption="COLEGIATURA ACTUAL" attribute="1" defaultMemberUniqueName="[Tabla2].[COLEGIATURA ACTUAL].[All]" allUniqueName="[Tabla2].[COLEGIATURA ACTUAL].[All]" dimensionUniqueName="[Tabla2]" displayFolder="" count="0" memberValueDatatype="20" unbalanced="0"/>
    <cacheHierarchy uniqueName="[Tabla2].[COMENTARIOS]" caption="COMENTARIOS" attribute="1" defaultMemberUniqueName="[Tabla2].[COMENTARIOS].[All]" allUniqueName="[Tabla2].[COMENTARIOS].[All]" dimensionUniqueName="[Tabla2]" displayFolder="" count="2" memberValueDatatype="130" unbalanced="0">
      <fieldsUsage count="2">
        <fieldUsage x="-1"/>
        <fieldUsage x="0"/>
      </fieldsUsage>
    </cacheHierarchy>
    <cacheHierarchy uniqueName="[Tabla2].[DESC.3]" caption="DESC.3" attribute="1" defaultMemberUniqueName="[Tabla2].[DESC.3].[All]" allUniqueName="[Tabla2].[DESC.3].[All]" dimensionUniqueName="[Tabla2]" displayFolder="" count="0" memberValueDatatype="130" unbalanced="0"/>
    <cacheHierarchy uniqueName="[Tabla2].[}=SI([@PROFESOR]]=I12,AK12,AK12+1)]" caption="}=SI([@PROFESOR]=I12,AK12,AK12+1)" attribute="1" defaultMemberUniqueName="[Tabla2].[}=SI([@PROFESOR]]=I12,AK12,AK12+1)].[All]" allUniqueName="[Tabla2].[}=SI([@PROFESOR]]=I12,AK12,AK12+1)].[All]" dimensionUniqueName="[Tabla2]" displayFolder="" count="0" memberValueDatatype="20" unbalanced="0"/>
    <cacheHierarchy uniqueName="[Tabla2].[dt]" caption="dt" attribute="1" defaultMemberUniqueName="[Tabla2].[dt].[All]" allUniqueName="[Tabla2].[dt].[All]" dimensionUniqueName="[Tabla2]" displayFolder="" count="0" memberValueDatatype="130" unbalanced="0"/>
    <cacheHierarchy uniqueName="[Measures].[__XL_Count Tabla2]" caption="__XL_Count Tabla2" measure="1" displayFolder="" measureGroup="Tabla2" count="0" hidden="1"/>
    <cacheHierarchy uniqueName="[Measures].[__No measures defined]" caption="__No measures defined" measure="1" displayFolder="" count="0" hidden="1"/>
    <cacheHierarchy uniqueName="[Measures].[Recuento de COMENTARIOS]" caption="Recuento de COMENTARIOS" measure="1" displayFolder="" measureGroup="Tabla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2">
    <dimension measure="1" name="Measures" uniqueName="[Measures]" caption="Measures"/>
    <dimension name="Tabla2" uniqueName="[Tabla2]" caption="Tabla2"/>
  </dimensions>
  <measureGroups count="1">
    <measureGroup name="Tabla2" caption="Tabla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6463AF-C64D-4E0C-9E9A-0CC6C5E548A8}" name="TablaDiná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36:F41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cuento de COMENTARIOS" fld="1" subtotal="count" baseField="0" baseItem="0"/>
  </data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pagos Enero 2025.xlsx!Tabla2">
        <x15:activeTabTopLevelEntity name="[Tab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FESOR" xr10:uid="{1CB3280C-C67C-4A91-A178-C2EAF00BED54}" sourceName="PROFESOR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_DE_RECIBO" xr10:uid="{B4B3E47B-F217-46A2-82F6-B67569F97F8E}" sourceName="#DE RECIBO">
  <extLst>
    <x:ext xmlns:x15="http://schemas.microsoft.com/office/spreadsheetml/2010/11/main" uri="{2F2917AC-EB37-4324-AD4E-5DD8C200BD13}">
      <x15:tableSlicerCache tableId="1" column="2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mpleto" xr10:uid="{7BDA47E5-F4A9-4D2D-89BC-780486A39F40}" sourceName="Completo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TUACIÓN" xr10:uid="{EC1973B7-B31C-4443-9974-778AEB2C3EC1}" sourceName="Status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ÉTODO" xr10:uid="{C17B6B08-D6B1-4B7A-A11A-607CA700E77C}" sourceName="MÉTODO">
  <extLst>
    <x:ext xmlns:x15="http://schemas.microsoft.com/office/spreadsheetml/2010/11/main" uri="{2F2917AC-EB37-4324-AD4E-5DD8C200BD13}">
      <x15:tableSlicerCache tableId="2" column="1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s" xr10:uid="{53B50DF5-EE18-4674-A515-6318C82EF4D4}" sourceName="Das">
  <extLst>
    <x:ext xmlns:x15="http://schemas.microsoft.com/office/spreadsheetml/2010/11/main" uri="{2F2917AC-EB37-4324-AD4E-5DD8C200BD13}">
      <x15:tableSlicerCache tableId="2" column="8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pa" xr10:uid="{EBA5DEF1-406D-4FAF-A57C-C30FF01B361C}" sourceName="Yapa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O" xr10:uid="{96BDD8DA-059F-4546-BBC0-D99B854CA196}" sourceName="CURSO">
  <extLst>
    <x:ext xmlns:x15="http://schemas.microsoft.com/office/spreadsheetml/2010/11/main" uri="{2F2917AC-EB37-4324-AD4E-5DD8C200BD13}">
      <x15:tableSlicerCache tableId="2" column="1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UACIÓN" xr10:uid="{A327E57C-E7D0-42E4-9230-A2C6FA34B25E}" cache="SegmentaciónDeDatos_SITUACIÓN" caption="Status" columnCount="5" rowHeight="241300"/>
  <slicer name="MÉTODO" xr10:uid="{E36BFC2E-4AF6-490F-8AA5-14453CA89574}" cache="SegmentaciónDeDatos_MÉTODO" caption="MÉTODO" rowHeight="241300"/>
  <slicer name="Das" xr10:uid="{B17655D8-8ABE-4B11-857E-BAC0AEF329DA}" cache="SegmentaciónDeDatos_Das" caption="Das" rowHeight="241300"/>
  <slicer name="Yapa" xr10:uid="{319103A7-B5C2-43BA-9D5B-C74887A8D5C6}" cache="SegmentaciónDeDatos_Yapa" caption="Yapa" rowHeight="241300"/>
  <slicer name="CURSO" xr10:uid="{B14F3319-45C5-4B85-BEA8-9EAF6B38DB3B}" cache="SegmentaciónDeDatos_CURSO" caption="CURSO" columnCount="3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FESOR" xr10:uid="{E14783FB-5AAE-4635-B479-B08680E43125}" cache="SegmentaciónDeDatos_PROFESOR" caption="PROFESOR" columnCount="6" rowHeight="241300"/>
  <slicer name="#DE RECIBO" xr10:uid="{4208F2C5-58C2-4B6F-BC27-547039C6C78F}" cache="SegmentaciónDeDatos__DE_RECIBO" caption="#DE RECIBO" startItem="10" columnCount="10" rowHeight="241300"/>
  <slicer name="Completo" xr10:uid="{B90EDF40-4318-4F33-9AB6-FBBBB90CA7EE}" cache="SegmentaciónDeDatos_Completo" caption="Completo" columnCount="10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3504AA-6E1B-4E1B-98A3-B93E2183E3CC}" name="Tabla2" displayName="Tabla2" ref="B17:AP162" totalsRowShown="0" headerRowDxfId="115">
  <autoFilter ref="B17:AP162" xr:uid="{F53504AA-6E1B-4E1B-98A3-B93E2183E3CC}">
    <filterColumn colId="2">
      <filters>
        <filter val="Activo"/>
      </filters>
    </filterColumn>
  </autoFilter>
  <sortState xmlns:xlrd2="http://schemas.microsoft.com/office/spreadsheetml/2017/richdata2" ref="B19:AP162">
    <sortCondition ref="K17:K162"/>
  </sortState>
  <tableColumns count="41">
    <tableColumn id="43" xr3:uid="{FCC46E4E-1A39-43B8-ADD5-8113FCEF5B65}" name="T" dataDxfId="114"/>
    <tableColumn id="2" xr3:uid="{6898540F-6F38-47FD-A116-A702065E51E2}" name="0" dataDxfId="113">
      <calculatedColumnFormula>IFERROR(IF(Tabla2[[#This Row],[Status]]="",0,IF(LEFT(Tabla2[[#This Row],[Status]],4)="Baja",C17,C17+1)),1)</calculatedColumnFormula>
    </tableColumn>
    <tableColumn id="3" xr3:uid="{FE6EE306-5055-4F97-80D2-DAA5E48D50DC}" name="Status" dataDxfId="112"/>
    <tableColumn id="1" xr3:uid="{683A72F7-DFDB-45BA-8961-E1BB97EDF018}" name="Yapa" dataDxfId="111">
      <calculatedColumnFormula>IF(AND(Tabla2[[#This Row],[RECIBO ACTUAL]]="",Tabla2[[#This Row],[Status]]="Activo"),"paguenmelaren","")</calculatedColumnFormula>
    </tableColumn>
    <tableColumn id="8" xr3:uid="{AD69FA3A-F45B-4D1E-BCAC-504C9B61CC94}" name="Das" dataDxfId="110"/>
    <tableColumn id="4" xr3:uid="{680DF545-A383-48A9-B245-AE7F61F67CE1}" name="INICIO" dataDxfId="109"/>
    <tableColumn id="38" xr3:uid="{8819F3A8-BAB6-41B4-895E-6B811AA4222B}" name="ID2" dataDxfId="108">
      <calculatedColumnFormula>IFERROR(CONCATENATE("AGS015",MID(Tabla2[[#This Row],[ALUMNO]],1,2),MID(Tabla2[[#This Row],[ALUMNO]],FIND(" ",Tabla2[[#This Row],[ALUMNO]],1)+1,2)),"Aguas")</calculatedColumnFormula>
    </tableColumn>
    <tableColumn id="5" xr3:uid="{4C763035-FF15-49C1-9D67-89D31B64DC76}" name="ALUMNO" dataDxfId="107"/>
    <tableColumn id="37" xr3:uid="{5A5A2609-EAFB-4357-94DB-CDA69157EACC}" name="yr" dataDxfId="106">
      <calculatedColumnFormula>IFERROR(YEAR(TODAY())-Tabla2[[#This Row],[año]],"")</calculatedColumnFormula>
    </tableColumn>
    <tableColumn id="9" xr3:uid="{9D132B51-C6CB-46B5-98AF-FA7E9500AC56}" name="PROFESOR" dataDxfId="105"/>
    <tableColumn id="10" xr3:uid="{8B4E7BBC-7C64-435F-9529-4FA60C0FCA10}" name="CURSO" dataDxfId="104"/>
    <tableColumn id="11" xr3:uid="{FD9BD6BB-CC66-403D-909C-7B1725BF0FB2}" name="NIVEL" dataDxfId="103"/>
    <tableColumn id="12" xr3:uid="{5A823CD1-A997-4AD5-B160-93B1EC31EF57}" name="MÉTODO" dataDxfId="102"/>
    <tableColumn id="13" xr3:uid="{CD93F513-2F40-475E-92B6-40CE2FEBE75A}" name="CLASIFICACIÓN" dataDxfId="101">
      <calculatedColumnFormula>IF(Tabla2[[#This Row],[MÉTODO]]="Yamaha","Royalty","")</calculatedColumnFormula>
    </tableColumn>
    <tableColumn id="40" xr3:uid="{E4117201-402B-4F87-AC0B-BA9D225594F5}" name="Ultimo Examen"/>
    <tableColumn id="39" xr3:uid="{4BB39BCE-5335-4B11-A04C-954B26B65380}" name="Siguiente examen"/>
    <tableColumn id="14" xr3:uid="{D4FDAA3C-0BDE-452A-B3BA-444E3CC2F632}" name="DÍA" dataDxfId="100"/>
    <tableColumn id="15" xr3:uid="{1F5A4D6B-7BA6-47E8-8386-0A8C59CB2405}" name="HORARIO"/>
    <tableColumn id="16" xr3:uid="{822C2524-2A07-465A-B577-C91D95394806}" name="CLASE"/>
    <tableColumn id="33" xr3:uid="{DEFA5784-E568-45DF-8EC4-71CD868CC2FE}" name="Abierto a G"/>
    <tableColumn id="17" xr3:uid="{8C5A40EC-C449-4A2A-8219-CE9A6732D816}" name="DURACIÓN" dataDxfId="99"/>
    <tableColumn id="18" xr3:uid="{BD7EEE9D-BCFD-4995-B1F3-AF17089A88B6}" name="NUMERO CONTACTO"/>
    <tableColumn id="19" xr3:uid="{D27A981E-C6B3-41CD-AC2E-02B8CA693E88}" name="Nombre Mdre" dataDxfId="98"/>
    <tableColumn id="20" xr3:uid="{EB946FDE-B02D-4A56-A60A-CC5E9DEB3503}" name="Madre"/>
    <tableColumn id="35" xr3:uid="{82DA8BF9-1EE4-4554-8C61-56161FD7A5C6}" name="Nombre Padre"/>
    <tableColumn id="34" xr3:uid="{07056D54-B6A2-444D-8D9B-AA1F2BA634AA}" name="Padre"/>
    <tableColumn id="21" xr3:uid="{0AAB020F-5623-4F7E-B2EA-DBD3C45D0724}" name="CORREO ELECTRÓNICO" dataDxfId="97" dataCellStyle="Hipervínculo"/>
    <tableColumn id="22" xr3:uid="{1B1ADE6E-5A75-4998-AC4E-7BFDEC89EA96}" name="FECHA DE NACIMIENTO DEL ALUMNO" dataDxfId="96"/>
    <tableColumn id="36" xr3:uid="{9A4E2529-F977-4AD0-9225-740E0E076E51}" name="año" dataDxfId="95">
      <calculatedColumnFormula>IF(YEAR(Tabla2[[#This Row],[FECHA DE NACIMIENTO DEL ALUMNO]])&lt;&gt;1900,YEAR(Tabla2[[#This Row],[FECHA DE NACIMIENTO DEL ALUMNO]]),"")</calculatedColumnFormula>
    </tableColumn>
    <tableColumn id="23" xr3:uid="{7B5E9B6C-91E2-423E-9448-08AC7D9B9840}" name="INSCRIPCIÓN"/>
    <tableColumn id="24" xr3:uid="{4E23F8AB-042F-4E08-8ADB-91326143821C}" name="DESC." dataDxfId="94"/>
    <tableColumn id="25" xr3:uid="{E66AE2E3-C87F-4821-9994-D6DAC8B9C3D7}" name="PAGO DE INSC." dataDxfId="93" dataCellStyle="Moneda"/>
    <tableColumn id="26" xr3:uid="{E960B5B8-9ED0-441E-A765-9909B8E2081F}" name="RECIBO ANTERIOR" dataDxfId="92"/>
    <tableColumn id="27" xr3:uid="{8D991D43-EC69-4F03-907B-3A0D6857C9E4}" name="COLEGIATURA ANTERIOR " dataDxfId="91"/>
    <tableColumn id="28" xr3:uid="{89AB6280-E1CF-4986-971E-58EC3721AE59}" name="DESC.2" dataDxfId="90"/>
    <tableColumn id="29" xr3:uid="{EFA82811-54D1-4CDB-B3CC-1208A6B1E5AE}" name="RECIBO ACTUAL" dataDxfId="89"/>
    <tableColumn id="30" xr3:uid="{4E946826-EF06-4770-A709-F49A2B10588D}" name="COLEGIATURA ACTUAL" dataDxfId="88"/>
    <tableColumn id="31" xr3:uid="{9DCA0C61-9B95-47A3-846D-97850B8DE2E3}" name="Forma Preferida de Pago" dataDxfId="87"/>
    <tableColumn id="32" xr3:uid="{9D0C8417-208B-435F-8C24-05158F5A833B}" name="DESC.3" dataDxfId="86"/>
    <tableColumn id="6" xr3:uid="{C8FB145E-00D1-4C82-8DA3-56E3EDF8B6D6}" name="}=SI([@PROFESOR]=I12,AK12,AK12+1)">
      <calculatedColumnFormula>_xlfn.XLOOKUP(Tabla2[[#This Row],[CURSO]],DevelupeMode!$T$4:$T$11,DevelupeMode!$U$4:$U$11,AO17+1)</calculatedColumnFormula>
    </tableColumn>
    <tableColumn id="7" xr3:uid="{CE29B288-8D5D-4089-A3F3-46CCBADCD1FC}" name="d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950E9B-EC7E-4459-8471-B2A6271AD4C4}" name="Tabla13" displayName="Tabla13" ref="J8:M25" totalsRowShown="0" dataDxfId="85">
  <autoFilter ref="J8:M25" xr:uid="{32950E9B-EC7E-4459-8471-B2A6271AD4C4}">
    <filterColumn colId="1">
      <customFilters>
        <customFilter operator="notEqual" val=" "/>
      </customFilters>
    </filterColumn>
  </autoFilter>
  <tableColumns count="4">
    <tableColumn id="1" xr3:uid="{AFFEA9AC-55D9-4608-8713-D32C1F065868}" name="N" dataDxfId="84"/>
    <tableColumn id="2" xr3:uid="{487B871E-A2A9-4C02-80C7-D278B8E5CBC5}" name="Egresos" dataDxfId="83">
      <calculatedColumnFormula>A9</calculatedColumnFormula>
    </tableColumn>
    <tableColumn id="3" xr3:uid="{B0D9241B-08A3-4D85-BB1C-5A97400495DE}" name="Curso" dataDxfId="82">
      <calculatedColumnFormula>_xlfn.XLOOKUP(Tabla13[[#This Row],[Egresos]],Tabla2[ALUMNO],Tabla2[PROFESOR],"")</calculatedColumnFormula>
    </tableColumn>
    <tableColumn id="4" xr3:uid="{36F01962-555C-47CF-9D0B-608616FCCF89}" name="Profesor" dataDxfId="81">
      <calculatedColumnFormula>_xlfn.XLOOKUP(Tabla13[[#This Row],[Egresos]],Tabla2[ALUMNO],Tabla2[CURSO],"")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D28D90-8B2A-4534-B269-9930ECDD64E9}" name="Tabla4" displayName="Tabla4" ref="D8:G22" totalsRowShown="0" dataDxfId="80">
  <autoFilter ref="D8:G22" xr:uid="{19D28D90-8B2A-4534-B269-9930ECDD64E9}"/>
  <tableColumns count="4">
    <tableColumn id="1" xr3:uid="{939E120D-B1C1-4419-9A34-78DCE02C7E58}" name="N" dataDxfId="79"/>
    <tableColumn id="2" xr3:uid="{4D3D0D55-7309-4298-B12B-D9D5B5813771}" name="Ingresos" dataDxfId="78">
      <calculatedColumnFormula>B9</calculatedColumnFormula>
    </tableColumn>
    <tableColumn id="3" xr3:uid="{1345E1E7-B8B7-43C1-B393-CDDF1CFC2207}" name="Curso" dataDxfId="77">
      <calculatedColumnFormula>_xlfn.XLOOKUP(Tabla4[[#This Row],[Ingresos]],Tabla2[ALUMNO],Tabla2[PROFESOR],"")</calculatedColumnFormula>
    </tableColumn>
    <tableColumn id="4" xr3:uid="{4E66CE5B-083D-48FC-BCC9-FA701B2A3CDA}" name="Profesor" dataDxfId="76">
      <calculatedColumnFormula>_xlfn.XLOOKUP(Tabla4[[#This Row],[Ingresos]],Tabla2[ALUMNO],Tabla2[CURSO],"")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09D4E28-3BDC-4D2E-8672-1791A5470FB9}" name="Tabla1314" displayName="Tabla1314" ref="O8:R32" totalsRowShown="0" dataDxfId="75">
  <autoFilter ref="O8:R32" xr:uid="{C09D4E28-3BDC-4D2E-8672-1791A5470FB9}"/>
  <tableColumns count="4">
    <tableColumn id="1" xr3:uid="{FD4AB2AB-39D8-4033-B139-240A1FD0A1E8}" name="N" dataDxfId="74"/>
    <tableColumn id="2" xr3:uid="{DE85A422-93E5-4FB6-AEBA-AF7E89649DAA}" name="R" dataDxfId="73"/>
    <tableColumn id="3" xr3:uid="{F24E8316-1DF4-45FA-B636-857EFCA8FC10}" name="Curso" dataDxfId="72">
      <calculatedColumnFormula>_xlfn.XLOOKUP(Tabla1314[[#This Row],[R]],Tabla2[ALUMNO],Tabla2[PROFESOR],"")</calculatedColumnFormula>
    </tableColumn>
    <tableColumn id="4" xr3:uid="{FB1EB9ED-F0AB-4929-93AF-7DCBFDA642D9}" name="Profesor" dataDxfId="71">
      <calculatedColumnFormula>_xlfn.XLOOKUP(Tabla1314[[#This Row],[R]],Tabla2[ALUMNO],Tabla2[CURSO],"")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232323E-8C84-43CD-9FF1-D4B46F254B9F}" name="Tabla7" displayName="Tabla7" ref="B6:O8" totalsRowShown="0" headerRowDxfId="70">
  <tableColumns count="14">
    <tableColumn id="1" xr3:uid="{BEBA6A03-7C3C-4465-A513-40766AEAF902}" name="Nombre" dataDxfId="69"/>
    <tableColumn id="2" xr3:uid="{00754D1C-C381-474E-AF51-5DFFEABA64B0}" name="Horario" dataDxfId="68"/>
    <tableColumn id="3" xr3:uid="{99D02D19-114A-482B-9688-F4B9E6CE8BD3}" name="15" dataDxfId="67"/>
    <tableColumn id="4" xr3:uid="{D671CC78-FA20-4992-858B-C7CBB7EF43FB}" name="17" dataDxfId="66"/>
    <tableColumn id="5" xr3:uid="{E5FAF4A1-AC5B-408C-A280-163FAEA5E0F8}" name="19" dataDxfId="65"/>
    <tableColumn id="6" xr3:uid="{6F52BA42-4BB5-4349-A4CE-539A9485F9A4}" name="22" dataDxfId="64"/>
    <tableColumn id="7" xr3:uid="{3A2FF683-050B-4D5B-9887-27034D911EF6}" name="24" dataDxfId="63"/>
    <tableColumn id="8" xr3:uid="{8D32FC69-621E-48C7-A4C6-96DEF3F59E36}" name="26" dataDxfId="62"/>
    <tableColumn id="9" xr3:uid="{A1FF350D-30D9-4925-BD5F-E880959AF815}" name="29" dataDxfId="61"/>
    <tableColumn id="10" xr3:uid="{14CA77C3-264C-48A8-B387-0D57BB8CD21B}" name="31" dataDxfId="60"/>
    <tableColumn id="11" xr3:uid="{A3A237C5-BD24-4D90-9305-B2EB29893922}" name="2" dataDxfId="59"/>
    <tableColumn id="12" xr3:uid="{12A43287-E3CC-44B7-9781-1C19A68B9C98}" name="5" dataDxfId="58"/>
    <tableColumn id="13" xr3:uid="{4CDD0781-C22E-43D4-AA9D-DC985C5C6D2F}" name="7" dataDxfId="57"/>
    <tableColumn id="14" xr3:uid="{0EBDDBAE-6829-4D50-9D16-1F88255E177E}" name="9" data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2DDB71-7B10-4C4A-B85D-B0FD62E42966}" name="Tabla710" displayName="Tabla710" ref="B11:O17" totalsRowShown="0" headerRowDxfId="55">
  <autoFilter ref="B11:O17" xr:uid="{432DDB71-7B10-4C4A-B85D-B0FD62E42966}"/>
  <sortState xmlns:xlrd2="http://schemas.microsoft.com/office/spreadsheetml/2017/richdata2" ref="B12:O17">
    <sortCondition ref="C11:C17"/>
  </sortState>
  <tableColumns count="14">
    <tableColumn id="1" xr3:uid="{ACBC7323-DF7F-4A0B-92C1-493605C1FF4E}" name="Nombre" dataDxfId="54"/>
    <tableColumn id="2" xr3:uid="{85B68D91-3B97-4E7D-AC53-572BD7188659}" name="Horario" dataDxfId="53"/>
    <tableColumn id="3" xr3:uid="{3DB51E80-8A75-476B-BD3E-D18314B54B7C}" name="15" dataDxfId="52"/>
    <tableColumn id="4" xr3:uid="{93D263BD-3982-4761-9265-A245D6E3A575}" name="17" dataDxfId="51"/>
    <tableColumn id="5" xr3:uid="{C10896AC-E28E-464D-803A-F7C80DA70334}" name="19" dataDxfId="50"/>
    <tableColumn id="6" xr3:uid="{92739ACA-BEDF-4063-8297-B445596ED946}" name="22" dataDxfId="49"/>
    <tableColumn id="7" xr3:uid="{8513C30E-6381-4BA0-88A9-973A4FB41A25}" name="24" dataDxfId="48"/>
    <tableColumn id="8" xr3:uid="{934F5C47-EAA9-4180-9E47-C3C1C37D2DB8}" name="26" dataDxfId="47"/>
    <tableColumn id="9" xr3:uid="{35C764F6-0A40-4D3C-9988-209EAEBD2740}" name="29" dataDxfId="46"/>
    <tableColumn id="10" xr3:uid="{17CEDD35-4AAE-48C5-A78A-0944A0E85483}" name="31" dataDxfId="45"/>
    <tableColumn id="11" xr3:uid="{9566BFE9-8F53-4749-A57E-A01D59FAEC1A}" name="2" dataDxfId="44"/>
    <tableColumn id="12" xr3:uid="{988BF05E-5F8A-422A-B0FF-73BEA3E626AA}" name="5" dataDxfId="43"/>
    <tableColumn id="13" xr3:uid="{16877B6A-827E-4451-9F12-751A217E4825}" name="7" dataDxfId="42"/>
    <tableColumn id="14" xr3:uid="{918B1A97-C3DF-431C-8A1F-A086F9EA375E}" name="9" dataDxfId="4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C18ED7E-2A8A-4F38-ABF2-E74ADC1F2E0E}" name="Tabla711" displayName="Tabla711" ref="B19:O28" totalsRowShown="0" headerRowDxfId="40">
  <tableColumns count="14">
    <tableColumn id="1" xr3:uid="{8AE61810-E819-466D-82BE-D8F0F74BFE4D}" name="Nombre" dataDxfId="39"/>
    <tableColumn id="2" xr3:uid="{74CC98DF-B391-44A8-9DED-841B3EEB1D57}" name="Horario" dataDxfId="38"/>
    <tableColumn id="3" xr3:uid="{5A8AF921-48CB-4D85-A9DF-384491241CFD}" name="15" dataDxfId="37"/>
    <tableColumn id="4" xr3:uid="{0836F8A6-1737-4245-B182-2F2EB0B7E1DD}" name="17" dataDxfId="36"/>
    <tableColumn id="5" xr3:uid="{74138710-0801-419C-8F61-43B4553D3107}" name="19" dataDxfId="35"/>
    <tableColumn id="6" xr3:uid="{0A2E971E-C9EE-474C-B687-3D4A6891A196}" name="22" dataDxfId="34"/>
    <tableColumn id="7" xr3:uid="{FA29FA49-3E16-477A-AF53-4E9AEF429B30}" name="24" dataDxfId="33"/>
    <tableColumn id="8" xr3:uid="{2A482D87-471C-4C1B-AE7E-A569EB0B8F94}" name="26" dataDxfId="32"/>
    <tableColumn id="9" xr3:uid="{AFC8FC4C-0E5A-4468-899A-9893BE6832B7}" name="29" dataDxfId="31"/>
    <tableColumn id="10" xr3:uid="{EDCD1BD0-7135-4B7F-9C26-F8A78FC9AD9B}" name="31" dataDxfId="30"/>
    <tableColumn id="11" xr3:uid="{C4ED8A9D-871F-4281-9304-AEC55A1AB610}" name="2" dataDxfId="29"/>
    <tableColumn id="12" xr3:uid="{C878F300-EDD1-455B-8B9C-8521E80BF8B7}" name="5" dataDxfId="28"/>
    <tableColumn id="13" xr3:uid="{7C6EE21C-F657-4115-9F50-028C8AF987E5}" name="7" dataDxfId="27"/>
    <tableColumn id="14" xr3:uid="{E669EBA3-C06D-4F06-9175-7234DA400ABD}" name="9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E0B2BC6-7738-4B3E-B1EB-2809F4969342}" name="Tabla713" displayName="Tabla713" ref="B30:J33" totalsRowShown="0" headerRowDxfId="25">
  <tableColumns count="9">
    <tableColumn id="1" xr3:uid="{4ED1F990-8084-4296-B40C-B9B66948FC0A}" name="Nombre" dataDxfId="24"/>
    <tableColumn id="2" xr3:uid="{E4FF31BD-652C-4BA7-ACB5-CDB6C658DE44}" name="Horario" dataDxfId="23"/>
    <tableColumn id="3" xr3:uid="{1455B7FF-0CC7-4CB5-B780-A4FD4516ACBB}" name="16" dataDxfId="22"/>
    <tableColumn id="4" xr3:uid="{7F9637ED-39CA-4253-A0B6-696D6B509703}" name="18" dataDxfId="21"/>
    <tableColumn id="5" xr3:uid="{00AB68FB-BA55-4336-BCDF-8E86BCB38BC5}" name="23" dataDxfId="20"/>
    <tableColumn id="6" xr3:uid="{B2A13493-592B-453D-B32F-C480BFC5F1E2}" name="25" dataDxfId="19"/>
    <tableColumn id="7" xr3:uid="{5B3FA666-9082-4480-BCFF-6007F95A1C24}" name="27" dataDxfId="18"/>
    <tableColumn id="8" xr3:uid="{680E11EF-CF9C-42DB-BD25-E64DA7CD96EB}" name="30" dataDxfId="17"/>
    <tableColumn id="9" xr3:uid="{9B48114A-508B-475B-900F-7A7DA134604B}" name="1" dataDxfId="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8D4D25-36A0-4FC9-8114-309E991F570B}" name="Tabla1" displayName="Tabla1" ref="B39:S80" totalsRowShown="0" headerRowDxfId="15">
  <autoFilter ref="B39:S80" xr:uid="{6F8D4D25-36A0-4FC9-8114-309E991F570B}"/>
  <sortState xmlns:xlrd2="http://schemas.microsoft.com/office/spreadsheetml/2017/richdata2" ref="B40:S80">
    <sortCondition ref="C39:C80"/>
  </sortState>
  <tableColumns count="18">
    <tableColumn id="2" xr3:uid="{5B94B0B1-5DBD-487F-B845-BF092DB38853}" name="SITUACIÓN" dataDxfId="14"/>
    <tableColumn id="3" xr3:uid="{6903A1CD-B300-4E09-AFC1-96B719EE097D}" name="INICIO" dataDxfId="13"/>
    <tableColumn id="4" xr3:uid="{CA76FE22-3C54-4B6E-B0CB-1E98F22FFA59}" name="Completo" dataDxfId="12"/>
    <tableColumn id="7" xr3:uid="{518078E5-ECE0-428C-A4AF-2759F6676862}" name="PROFESOR" dataDxfId="11"/>
    <tableColumn id="8" xr3:uid="{2E57D2CE-3768-480C-85E9-8F84591EEB73}" name="CURSO" dataDxfId="10"/>
    <tableColumn id="12" xr3:uid="{BB964F64-0027-4C0A-A48E-44A356609DFA}" name="Edad" dataDxfId="9"/>
    <tableColumn id="13" xr3:uid="{70D234BA-0BEC-4B15-A327-1D0ABB540541}" name="G" dataDxfId="8"/>
    <tableColumn id="16" xr3:uid="{7367337D-DB1E-4056-B62A-E823D9918F9E}" name="CEL ALUMNO"/>
    <tableColumn id="17" xr3:uid="{8FE93708-43EA-422C-B3D0-DC864C78368F}" name="Nombre Tutor" dataDxfId="7"/>
    <tableColumn id="18" xr3:uid="{BA575CF7-5036-48FF-A432-0FDBB9A22362}" name="CONTACTO MADRE, PADRE O TUTOR"/>
    <tableColumn id="19" xr3:uid="{3E991BDC-584D-4891-B543-CAC02C45201F}" name="CORREO ELECTRÓNICO" dataDxfId="6" dataCellStyle="Hipervínculo"/>
    <tableColumn id="6" xr3:uid="{E47EB5D3-52FB-4939-A380-1AC64496BD15}" name="Numero" dataDxfId="5" dataCellStyle="Hipervínculo"/>
    <tableColumn id="22" xr3:uid="{A480D6C4-692F-4D0A-B300-33012BC0E58F}" name="DESC." dataDxfId="4"/>
    <tableColumn id="24" xr3:uid="{05A9BE2D-12AC-4ABA-B311-43C5D55FE468}" name="#DE RECIBO" dataDxfId="3"/>
    <tableColumn id="28" xr3:uid="{E6B2D739-510F-49FB-8C48-72C849FC313C}" name="COLEGIATURA ACTUAL" dataDxfId="2"/>
    <tableColumn id="29" xr3:uid="{AF7F3DD9-7E1D-4122-B2E5-0241859130A3}" name="COMENTARIOS" dataDxfId="1"/>
    <tableColumn id="30" xr3:uid="{C519148E-92CF-4B18-B82A-E8AD3431B4F2}" name="DESC.3" dataDxfId="0"/>
    <tableColumn id="31" xr3:uid="{6411CA05-07C5-4C27-AD5B-2C6F5FC966EC}" name="ep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edicamx@hotmail.com" TargetMode="External"/><Relationship Id="rId18" Type="http://schemas.openxmlformats.org/officeDocument/2006/relationships/hyperlink" Target="mailto:raudelivan.parga@gmail.com" TargetMode="External"/><Relationship Id="rId26" Type="http://schemas.openxmlformats.org/officeDocument/2006/relationships/hyperlink" Target="mailto:yola_lapy@hotmail.com" TargetMode="External"/><Relationship Id="rId3" Type="http://schemas.openxmlformats.org/officeDocument/2006/relationships/hyperlink" Target="mailto:parralesaritzel@gmail.com" TargetMode="External"/><Relationship Id="rId21" Type="http://schemas.openxmlformats.org/officeDocument/2006/relationships/hyperlink" Target="mailto:leonardo.sanz@outlook.com" TargetMode="External"/><Relationship Id="rId34" Type="http://schemas.microsoft.com/office/2007/relationships/slicer" Target="../slicers/slicer1.xml"/><Relationship Id="rId7" Type="http://schemas.openxmlformats.org/officeDocument/2006/relationships/hyperlink" Target="mailto:elenaxmaria@gmail.com" TargetMode="External"/><Relationship Id="rId12" Type="http://schemas.openxmlformats.org/officeDocument/2006/relationships/hyperlink" Target="mailto:aguilarlopezvictormanuel48@gmail.com" TargetMode="External"/><Relationship Id="rId17" Type="http://schemas.openxmlformats.org/officeDocument/2006/relationships/hyperlink" Target="mailto:marthalesa@gmail.com" TargetMode="External"/><Relationship Id="rId25" Type="http://schemas.openxmlformats.org/officeDocument/2006/relationships/hyperlink" Target="mailto:jcsalasma@hotmail.com" TargetMode="External"/><Relationship Id="rId33" Type="http://schemas.openxmlformats.org/officeDocument/2006/relationships/table" Target="../tables/table1.xml"/><Relationship Id="rId2" Type="http://schemas.openxmlformats.org/officeDocument/2006/relationships/hyperlink" Target="mailto:catando16@hotmail.com" TargetMode="External"/><Relationship Id="rId16" Type="http://schemas.openxmlformats.org/officeDocument/2006/relationships/hyperlink" Target="mailto:eaglestrike-@hotmail.com" TargetMode="External"/><Relationship Id="rId20" Type="http://schemas.openxmlformats.org/officeDocument/2006/relationships/hyperlink" Target="mailto:julio.elenes@hotmail.com" TargetMode="External"/><Relationship Id="rId29" Type="http://schemas.openxmlformats.org/officeDocument/2006/relationships/printerSettings" Target="../printerSettings/printerSettings2.bin"/><Relationship Id="rId1" Type="http://schemas.openxmlformats.org/officeDocument/2006/relationships/hyperlink" Target="mailto:drarosama2755@live.com" TargetMode="External"/><Relationship Id="rId6" Type="http://schemas.openxmlformats.org/officeDocument/2006/relationships/hyperlink" Target="mailto:draclaudiaperez@yahoo.com" TargetMode="External"/><Relationship Id="rId11" Type="http://schemas.openxmlformats.org/officeDocument/2006/relationships/hyperlink" Target="mailto:eduardo.samaniego@gmail.com" TargetMode="External"/><Relationship Id="rId24" Type="http://schemas.openxmlformats.org/officeDocument/2006/relationships/hyperlink" Target="mailto:natalia_hc@hotmail.com" TargetMode="External"/><Relationship Id="rId32" Type="http://schemas.openxmlformats.org/officeDocument/2006/relationships/ctrlProp" Target="../ctrlProps/ctrlProp2.xml"/><Relationship Id="rId5" Type="http://schemas.openxmlformats.org/officeDocument/2006/relationships/hyperlink" Target="mailto:terpsicore.130975@gmail.com" TargetMode="External"/><Relationship Id="rId15" Type="http://schemas.openxmlformats.org/officeDocument/2006/relationships/hyperlink" Target="mailto:fabyflor54@hotmail.com" TargetMode="External"/><Relationship Id="rId23" Type="http://schemas.openxmlformats.org/officeDocument/2006/relationships/hyperlink" Target="mailto:riandrade.carreon@gmail.com" TargetMode="External"/><Relationship Id="rId28" Type="http://schemas.openxmlformats.org/officeDocument/2006/relationships/hyperlink" Target="mailto:mfsnchz23@gmail.com" TargetMode="External"/><Relationship Id="rId10" Type="http://schemas.openxmlformats.org/officeDocument/2006/relationships/hyperlink" Target="mailto:glz_zamora@hotmail.com" TargetMode="External"/><Relationship Id="rId19" Type="http://schemas.openxmlformats.org/officeDocument/2006/relationships/hyperlink" Target="mailto:zaidagc@gmail.com" TargetMode="External"/><Relationship Id="rId31" Type="http://schemas.openxmlformats.org/officeDocument/2006/relationships/vmlDrawing" Target="../drawings/vmlDrawing2.vml"/><Relationship Id="rId4" Type="http://schemas.openxmlformats.org/officeDocument/2006/relationships/hyperlink" Target="mailto:vale.hdzgonz28@gmail.com" TargetMode="External"/><Relationship Id="rId9" Type="http://schemas.openxmlformats.org/officeDocument/2006/relationships/hyperlink" Target="mailto:cesarandresmof@gmail.com" TargetMode="External"/><Relationship Id="rId14" Type="http://schemas.openxmlformats.org/officeDocument/2006/relationships/hyperlink" Target="mailto:cplauraherrera@gmail.com" TargetMode="External"/><Relationship Id="rId22" Type="http://schemas.openxmlformats.org/officeDocument/2006/relationships/hyperlink" Target="mailto:vianney.sotelo@hotmail.com" TargetMode="External"/><Relationship Id="rId27" Type="http://schemas.openxmlformats.org/officeDocument/2006/relationships/hyperlink" Target="mailto:alfalfa270@gmail.com" TargetMode="External"/><Relationship Id="rId30" Type="http://schemas.openxmlformats.org/officeDocument/2006/relationships/drawing" Target="../drawings/drawing2.xml"/><Relationship Id="rId8" Type="http://schemas.openxmlformats.org/officeDocument/2006/relationships/hyperlink" Target="mailto:erydrom8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alfalfa270@gmail.com" TargetMode="External"/><Relationship Id="rId6" Type="http://schemas.microsoft.com/office/2007/relationships/slicer" Target="../slicers/slicer2.xml"/><Relationship Id="rId5" Type="http://schemas.openxmlformats.org/officeDocument/2006/relationships/table" Target="../tables/table9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092E5-3311-4F29-9D0E-0341D18AFE52}">
  <sheetPr codeName="Hoja4"/>
  <dimension ref="B1:U126"/>
  <sheetViews>
    <sheetView topLeftCell="A28" workbookViewId="0">
      <selection activeCell="B50" sqref="B50"/>
    </sheetView>
  </sheetViews>
  <sheetFormatPr baseColWidth="10" defaultRowHeight="15" x14ac:dyDescent="0.25"/>
  <cols>
    <col min="3" max="3" width="11.85546875" bestFit="1" customWidth="1"/>
    <col min="8" max="8" width="20.28515625" bestFit="1" customWidth="1"/>
    <col min="13" max="13" width="11.85546875" bestFit="1" customWidth="1"/>
  </cols>
  <sheetData>
    <row r="1" spans="2:21" x14ac:dyDescent="0.25">
      <c r="B1" t="s">
        <v>461</v>
      </c>
      <c r="C1">
        <v>650</v>
      </c>
      <c r="F1" t="s">
        <v>500</v>
      </c>
      <c r="G1">
        <f>Report!I4</f>
        <v>40</v>
      </c>
    </row>
    <row r="2" spans="2:21" x14ac:dyDescent="0.25">
      <c r="B2" t="s">
        <v>501</v>
      </c>
      <c r="C2">
        <f>VLOOKUP(C1,H5:I105,2,FALSE)</f>
        <v>33</v>
      </c>
    </row>
    <row r="3" spans="2:21" x14ac:dyDescent="0.25">
      <c r="L3" t="s">
        <v>502</v>
      </c>
      <c r="M3" t="b">
        <v>0</v>
      </c>
      <c r="P3" t="s">
        <v>557</v>
      </c>
      <c r="Q3" t="s">
        <v>558</v>
      </c>
      <c r="T3" t="s">
        <v>172</v>
      </c>
      <c r="U3" t="s">
        <v>176</v>
      </c>
    </row>
    <row r="4" spans="2:21" x14ac:dyDescent="0.25">
      <c r="P4" t="s">
        <v>559</v>
      </c>
      <c r="Q4">
        <v>1100</v>
      </c>
      <c r="T4" t="s">
        <v>21</v>
      </c>
      <c r="U4">
        <v>2</v>
      </c>
    </row>
    <row r="5" spans="2:21" x14ac:dyDescent="0.25">
      <c r="B5" t="s">
        <v>493</v>
      </c>
      <c r="C5" t="s">
        <v>494</v>
      </c>
      <c r="G5" t="s">
        <v>498</v>
      </c>
      <c r="H5" t="s">
        <v>499</v>
      </c>
      <c r="K5" s="213" t="s">
        <v>512</v>
      </c>
      <c r="L5" t="s">
        <v>513</v>
      </c>
      <c r="P5" t="s">
        <v>560</v>
      </c>
      <c r="Q5">
        <v>1490</v>
      </c>
      <c r="T5" t="s">
        <v>42</v>
      </c>
      <c r="U5">
        <f>U4+2</f>
        <v>4</v>
      </c>
    </row>
    <row r="6" spans="2:21" x14ac:dyDescent="0.25">
      <c r="B6" s="167" cm="1">
        <f t="array" aca="1" ref="B6:B91" ca="1">_xlfn._xlws.SORT(INDIRECT(IF(M3,"H5","H"&amp;C2+6)&amp;":H124"),1,1,FALSE)</f>
        <v>650</v>
      </c>
      <c r="C6" s="140"/>
      <c r="E6" s="140"/>
      <c r="H6" cm="1">
        <f t="array" ref="H6:H46">IF(I6=1,_xlfn._xlws.FILTER(_xlfn._xlws.SORT(Tabla2[RECIBO ANTERIOR],1,1,FALSE),_xlfn._xlws.SORT(Tabla2[RECIBO ANTERIOR],1,1,FALSE)&lt;&gt;0,""),"")</f>
        <v>623</v>
      </c>
      <c r="I6">
        <v>1</v>
      </c>
      <c r="K6" s="214"/>
      <c r="L6" cm="1">
        <f t="array" ref="L6:L26">_xlfn._xlws.SORT(K6:K26,1,1,FALSE)</f>
        <v>0</v>
      </c>
      <c r="P6" t="s">
        <v>562</v>
      </c>
      <c r="Q6">
        <v>1100</v>
      </c>
      <c r="T6" t="s">
        <v>78</v>
      </c>
      <c r="U6">
        <f t="shared" ref="U6:U8" si="0">U5+2</f>
        <v>6</v>
      </c>
    </row>
    <row r="7" spans="2:21" x14ac:dyDescent="0.25">
      <c r="B7" s="168">
        <f ca="1"/>
        <v>651</v>
      </c>
      <c r="C7" s="140" t="str">
        <f ca="1">IFERROR(IF(B7-B6&gt;1,"EEEEEEECole","tabn"),"")</f>
        <v>tabn</v>
      </c>
      <c r="E7" s="140"/>
      <c r="H7">
        <v>624</v>
      </c>
      <c r="I7">
        <f>I6+1</f>
        <v>2</v>
      </c>
      <c r="K7" s="213"/>
      <c r="L7">
        <v>0</v>
      </c>
      <c r="P7" t="s">
        <v>561</v>
      </c>
      <c r="Q7">
        <v>1100</v>
      </c>
      <c r="T7" t="s">
        <v>544</v>
      </c>
      <c r="U7">
        <f t="shared" si="0"/>
        <v>8</v>
      </c>
    </row>
    <row r="8" spans="2:21" x14ac:dyDescent="0.25">
      <c r="B8" s="169">
        <f ca="1"/>
        <v>651</v>
      </c>
      <c r="C8" s="140" t="str">
        <f t="shared" ref="C8:C71" ca="1" si="1">IFERROR(IF(B8-B7&gt;1,"EEEEEEECole","tabn"),"")</f>
        <v>tabn</v>
      </c>
      <c r="E8" s="140"/>
      <c r="H8">
        <v>625</v>
      </c>
      <c r="I8">
        <f t="shared" ref="I8:I71" si="2">I7+1</f>
        <v>3</v>
      </c>
      <c r="K8" s="213"/>
      <c r="L8">
        <v>0</v>
      </c>
      <c r="P8" t="s">
        <v>619</v>
      </c>
      <c r="Q8">
        <v>700</v>
      </c>
      <c r="T8" t="s">
        <v>57</v>
      </c>
      <c r="U8">
        <f t="shared" si="0"/>
        <v>10</v>
      </c>
    </row>
    <row r="9" spans="2:21" x14ac:dyDescent="0.25">
      <c r="B9" s="168">
        <f ca="1"/>
        <v>651</v>
      </c>
      <c r="C9" s="140" t="str">
        <f t="shared" ca="1" si="1"/>
        <v>tabn</v>
      </c>
      <c r="E9" s="140"/>
      <c r="H9">
        <v>625</v>
      </c>
      <c r="I9">
        <f t="shared" si="2"/>
        <v>4</v>
      </c>
      <c r="K9" s="213"/>
      <c r="L9">
        <v>0</v>
      </c>
      <c r="T9" t="s">
        <v>117</v>
      </c>
      <c r="U9">
        <f>U8+2</f>
        <v>12</v>
      </c>
    </row>
    <row r="10" spans="2:21" x14ac:dyDescent="0.25">
      <c r="B10" s="171">
        <f ca="1"/>
        <v>652</v>
      </c>
      <c r="C10" s="140" t="str">
        <f t="shared" ca="1" si="1"/>
        <v>tabn</v>
      </c>
      <c r="E10" s="140"/>
      <c r="H10">
        <v>626</v>
      </c>
      <c r="I10">
        <f t="shared" si="2"/>
        <v>5</v>
      </c>
      <c r="K10" s="213"/>
      <c r="L10">
        <v>0</v>
      </c>
      <c r="T10" t="s">
        <v>618</v>
      </c>
      <c r="U10">
        <v>14</v>
      </c>
    </row>
    <row r="11" spans="2:21" x14ac:dyDescent="0.25">
      <c r="B11" s="168">
        <f ca="1"/>
        <v>653</v>
      </c>
      <c r="C11" s="140" t="str">
        <f t="shared" ca="1" si="1"/>
        <v>tabn</v>
      </c>
      <c r="E11" s="140"/>
      <c r="H11">
        <v>627</v>
      </c>
      <c r="I11">
        <f t="shared" si="2"/>
        <v>6</v>
      </c>
      <c r="K11" s="213"/>
      <c r="L11">
        <v>0</v>
      </c>
      <c r="U11">
        <v>27</v>
      </c>
    </row>
    <row r="12" spans="2:21" x14ac:dyDescent="0.25">
      <c r="B12" s="167">
        <f ca="1"/>
        <v>653</v>
      </c>
      <c r="C12" s="140" t="str">
        <f t="shared" ca="1" si="1"/>
        <v>tabn</v>
      </c>
      <c r="E12" s="140"/>
      <c r="H12">
        <v>628</v>
      </c>
      <c r="I12">
        <f t="shared" si="2"/>
        <v>7</v>
      </c>
      <c r="K12" s="213"/>
      <c r="L12">
        <v>0</v>
      </c>
    </row>
    <row r="13" spans="2:21" x14ac:dyDescent="0.25">
      <c r="B13" s="168">
        <f ca="1"/>
        <v>654</v>
      </c>
      <c r="C13" s="140" t="str">
        <f t="shared" ca="1" si="1"/>
        <v>tabn</v>
      </c>
      <c r="E13" s="140"/>
      <c r="H13">
        <v>629</v>
      </c>
      <c r="I13">
        <f t="shared" si="2"/>
        <v>8</v>
      </c>
      <c r="K13" s="213"/>
      <c r="L13">
        <v>0</v>
      </c>
    </row>
    <row r="14" spans="2:21" x14ac:dyDescent="0.25">
      <c r="B14" s="168">
        <f ca="1"/>
        <v>655</v>
      </c>
      <c r="C14" s="140" t="str">
        <f t="shared" ca="1" si="1"/>
        <v>tabn</v>
      </c>
      <c r="E14" s="140"/>
      <c r="H14">
        <v>630</v>
      </c>
      <c r="I14">
        <f t="shared" si="2"/>
        <v>9</v>
      </c>
      <c r="K14" s="213"/>
      <c r="L14">
        <v>0</v>
      </c>
    </row>
    <row r="15" spans="2:21" x14ac:dyDescent="0.25">
      <c r="B15" s="168">
        <f ca="1"/>
        <v>655</v>
      </c>
      <c r="C15" s="140" t="str">
        <f t="shared" ca="1" si="1"/>
        <v>tabn</v>
      </c>
      <c r="E15" s="140"/>
      <c r="H15">
        <v>632</v>
      </c>
      <c r="I15">
        <f t="shared" si="2"/>
        <v>10</v>
      </c>
      <c r="K15" s="213"/>
      <c r="L15">
        <v>0</v>
      </c>
    </row>
    <row r="16" spans="2:21" x14ac:dyDescent="0.25">
      <c r="B16" s="168">
        <f ca="1"/>
        <v>656</v>
      </c>
      <c r="C16" s="140" t="str">
        <f t="shared" ca="1" si="1"/>
        <v>tabn</v>
      </c>
      <c r="E16" s="140"/>
      <c r="H16">
        <v>632</v>
      </c>
      <c r="I16">
        <f t="shared" si="2"/>
        <v>11</v>
      </c>
      <c r="K16" s="213"/>
      <c r="L16">
        <v>0</v>
      </c>
    </row>
    <row r="17" spans="2:12" x14ac:dyDescent="0.25">
      <c r="B17" s="169">
        <f ca="1"/>
        <v>657</v>
      </c>
      <c r="C17" s="140" t="str">
        <f t="shared" ca="1" si="1"/>
        <v>tabn</v>
      </c>
      <c r="E17" s="140"/>
      <c r="G17" s="140"/>
      <c r="H17">
        <v>633</v>
      </c>
      <c r="I17">
        <f t="shared" si="2"/>
        <v>12</v>
      </c>
      <c r="K17" s="213"/>
      <c r="L17">
        <v>0</v>
      </c>
    </row>
    <row r="18" spans="2:12" x14ac:dyDescent="0.25">
      <c r="B18" s="168">
        <f ca="1"/>
        <v>658</v>
      </c>
      <c r="C18" s="140" t="str">
        <f t="shared" ca="1" si="1"/>
        <v>tabn</v>
      </c>
      <c r="E18" s="140"/>
      <c r="H18">
        <v>634</v>
      </c>
      <c r="I18">
        <f t="shared" si="2"/>
        <v>13</v>
      </c>
      <c r="K18" s="213"/>
      <c r="L18">
        <v>0</v>
      </c>
    </row>
    <row r="19" spans="2:12" x14ac:dyDescent="0.25">
      <c r="B19" s="168">
        <f ca="1"/>
        <v>659</v>
      </c>
      <c r="C19" s="140" t="str">
        <f t="shared" ca="1" si="1"/>
        <v>tabn</v>
      </c>
      <c r="E19" s="140"/>
      <c r="G19" s="140"/>
      <c r="H19">
        <v>634</v>
      </c>
      <c r="I19">
        <f t="shared" si="2"/>
        <v>14</v>
      </c>
      <c r="K19" s="213"/>
      <c r="L19">
        <v>0</v>
      </c>
    </row>
    <row r="20" spans="2:12" x14ac:dyDescent="0.25">
      <c r="B20" s="168">
        <f ca="1"/>
        <v>659</v>
      </c>
      <c r="C20" s="140" t="str">
        <f t="shared" ca="1" si="1"/>
        <v>tabn</v>
      </c>
      <c r="E20" s="140"/>
      <c r="H20">
        <v>635</v>
      </c>
      <c r="I20">
        <f t="shared" si="2"/>
        <v>15</v>
      </c>
      <c r="K20" s="213"/>
      <c r="L20">
        <v>0</v>
      </c>
    </row>
    <row r="21" spans="2:12" x14ac:dyDescent="0.25">
      <c r="B21" s="168">
        <f ca="1"/>
        <v>660</v>
      </c>
      <c r="C21" s="140" t="str">
        <f t="shared" ca="1" si="1"/>
        <v>tabn</v>
      </c>
      <c r="E21" s="140"/>
      <c r="H21">
        <v>635</v>
      </c>
      <c r="I21">
        <f t="shared" si="2"/>
        <v>16</v>
      </c>
      <c r="K21" s="213"/>
      <c r="L21">
        <v>0</v>
      </c>
    </row>
    <row r="22" spans="2:12" x14ac:dyDescent="0.25">
      <c r="B22" s="168">
        <f ca="1"/>
        <v>660</v>
      </c>
      <c r="C22" s="140" t="str">
        <f t="shared" ca="1" si="1"/>
        <v>tabn</v>
      </c>
      <c r="E22" s="140"/>
      <c r="G22" s="140"/>
      <c r="H22">
        <v>636</v>
      </c>
      <c r="I22">
        <f t="shared" si="2"/>
        <v>17</v>
      </c>
      <c r="K22" s="213"/>
      <c r="L22">
        <v>0</v>
      </c>
    </row>
    <row r="23" spans="2:12" x14ac:dyDescent="0.25">
      <c r="B23" s="172">
        <f ca="1"/>
        <v>661</v>
      </c>
      <c r="C23" s="140" t="str">
        <f t="shared" ca="1" si="1"/>
        <v>tabn</v>
      </c>
      <c r="E23" s="140"/>
      <c r="H23">
        <v>638</v>
      </c>
      <c r="I23">
        <f t="shared" si="2"/>
        <v>18</v>
      </c>
      <c r="K23" s="213"/>
      <c r="L23">
        <v>0</v>
      </c>
    </row>
    <row r="24" spans="2:12" x14ac:dyDescent="0.25">
      <c r="B24" s="172">
        <f ca="1"/>
        <v>661</v>
      </c>
      <c r="C24" s="140" t="str">
        <f t="shared" ca="1" si="1"/>
        <v>tabn</v>
      </c>
      <c r="E24" s="140"/>
      <c r="H24">
        <v>639</v>
      </c>
      <c r="I24">
        <f t="shared" si="2"/>
        <v>19</v>
      </c>
      <c r="K24" s="213"/>
      <c r="L24">
        <v>0</v>
      </c>
    </row>
    <row r="25" spans="2:12" x14ac:dyDescent="0.25">
      <c r="B25" s="172">
        <f ca="1"/>
        <v>662</v>
      </c>
      <c r="C25" s="140" t="str">
        <f t="shared" ca="1" si="1"/>
        <v>tabn</v>
      </c>
      <c r="E25" s="140"/>
      <c r="H25">
        <v>640</v>
      </c>
      <c r="I25">
        <f t="shared" si="2"/>
        <v>20</v>
      </c>
      <c r="K25" s="213"/>
      <c r="L25">
        <v>0</v>
      </c>
    </row>
    <row r="26" spans="2:12" x14ac:dyDescent="0.25">
      <c r="B26" s="168">
        <f ca="1"/>
        <v>663</v>
      </c>
      <c r="C26" s="140" t="str">
        <f t="shared" ca="1" si="1"/>
        <v>tabn</v>
      </c>
      <c r="E26" s="140"/>
      <c r="H26">
        <v>641</v>
      </c>
      <c r="I26">
        <f t="shared" si="2"/>
        <v>21</v>
      </c>
      <c r="K26" s="213"/>
      <c r="L26">
        <v>0</v>
      </c>
    </row>
    <row r="27" spans="2:12" x14ac:dyDescent="0.25">
      <c r="B27" s="171">
        <f ca="1"/>
        <v>663</v>
      </c>
      <c r="C27" s="140" t="str">
        <f t="shared" ca="1" si="1"/>
        <v>tabn</v>
      </c>
      <c r="E27" s="140"/>
      <c r="H27">
        <v>641</v>
      </c>
      <c r="I27">
        <f t="shared" si="2"/>
        <v>22</v>
      </c>
    </row>
    <row r="28" spans="2:12" x14ac:dyDescent="0.25">
      <c r="B28" s="168">
        <f ca="1"/>
        <v>664</v>
      </c>
      <c r="C28" s="140" t="str">
        <f t="shared" ca="1" si="1"/>
        <v>tabn</v>
      </c>
      <c r="E28" s="140"/>
      <c r="H28">
        <v>642</v>
      </c>
      <c r="I28">
        <f t="shared" si="2"/>
        <v>23</v>
      </c>
    </row>
    <row r="29" spans="2:12" x14ac:dyDescent="0.25">
      <c r="B29" s="168">
        <f ca="1"/>
        <v>665</v>
      </c>
      <c r="C29" s="140" t="str">
        <f t="shared" ca="1" si="1"/>
        <v>tabn</v>
      </c>
      <c r="E29" s="140"/>
      <c r="H29">
        <v>642</v>
      </c>
      <c r="I29">
        <f t="shared" si="2"/>
        <v>24</v>
      </c>
    </row>
    <row r="30" spans="2:12" x14ac:dyDescent="0.25">
      <c r="B30" s="168">
        <f ca="1"/>
        <v>666</v>
      </c>
      <c r="C30" s="140" t="str">
        <f t="shared" ca="1" si="1"/>
        <v>tabn</v>
      </c>
      <c r="E30" s="140"/>
      <c r="H30">
        <v>643</v>
      </c>
      <c r="I30">
        <f t="shared" si="2"/>
        <v>25</v>
      </c>
    </row>
    <row r="31" spans="2:12" x14ac:dyDescent="0.25">
      <c r="B31" s="168">
        <f ca="1"/>
        <v>667</v>
      </c>
      <c r="C31" s="140" t="str">
        <f t="shared" ca="1" si="1"/>
        <v>tabn</v>
      </c>
      <c r="E31" s="140"/>
      <c r="H31">
        <v>644</v>
      </c>
      <c r="I31">
        <f t="shared" si="2"/>
        <v>26</v>
      </c>
    </row>
    <row r="32" spans="2:12" x14ac:dyDescent="0.25">
      <c r="B32" s="167">
        <f ca="1"/>
        <v>668</v>
      </c>
      <c r="C32" s="140" t="str">
        <f t="shared" ca="1" si="1"/>
        <v>tabn</v>
      </c>
      <c r="E32" s="140"/>
      <c r="H32">
        <v>644</v>
      </c>
      <c r="I32">
        <f t="shared" si="2"/>
        <v>27</v>
      </c>
    </row>
    <row r="33" spans="2:9" x14ac:dyDescent="0.25">
      <c r="B33" s="168">
        <f ca="1"/>
        <v>669</v>
      </c>
      <c r="C33" s="140" t="str">
        <f t="shared" ca="1" si="1"/>
        <v>tabn</v>
      </c>
      <c r="E33" s="140"/>
      <c r="H33">
        <v>645</v>
      </c>
      <c r="I33">
        <f t="shared" si="2"/>
        <v>28</v>
      </c>
    </row>
    <row r="34" spans="2:9" x14ac:dyDescent="0.25">
      <c r="B34" s="171">
        <f ca="1"/>
        <v>670</v>
      </c>
      <c r="C34" s="140" t="str">
        <f t="shared" ca="1" si="1"/>
        <v>tabn</v>
      </c>
      <c r="E34" s="140"/>
      <c r="H34">
        <v>647</v>
      </c>
      <c r="I34">
        <f t="shared" si="2"/>
        <v>29</v>
      </c>
    </row>
    <row r="35" spans="2:9" x14ac:dyDescent="0.25">
      <c r="B35" s="171">
        <f ca="1"/>
        <v>671</v>
      </c>
      <c r="C35" s="140" t="str">
        <f t="shared" ca="1" si="1"/>
        <v>tabn</v>
      </c>
      <c r="E35" s="140"/>
      <c r="H35">
        <v>648</v>
      </c>
      <c r="I35">
        <f t="shared" si="2"/>
        <v>30</v>
      </c>
    </row>
    <row r="36" spans="2:9" x14ac:dyDescent="0.25">
      <c r="B36" s="167">
        <f ca="1"/>
        <v>672</v>
      </c>
      <c r="C36" s="140" t="str">
        <f t="shared" ca="1" si="1"/>
        <v>tabn</v>
      </c>
      <c r="E36" s="140"/>
      <c r="H36">
        <v>649</v>
      </c>
      <c r="I36">
        <f t="shared" si="2"/>
        <v>31</v>
      </c>
    </row>
    <row r="37" spans="2:9" x14ac:dyDescent="0.25">
      <c r="B37" s="167">
        <f ca="1"/>
        <v>672</v>
      </c>
      <c r="C37" s="140" t="str">
        <f t="shared" ca="1" si="1"/>
        <v>tabn</v>
      </c>
      <c r="E37" s="140"/>
      <c r="H37">
        <v>649</v>
      </c>
      <c r="I37">
        <f t="shared" si="2"/>
        <v>32</v>
      </c>
    </row>
    <row r="38" spans="2:9" x14ac:dyDescent="0.25">
      <c r="B38" s="172">
        <f ca="1"/>
        <v>672</v>
      </c>
      <c r="C38" s="140" t="str">
        <f t="shared" ca="1" si="1"/>
        <v>tabn</v>
      </c>
      <c r="E38" s="140"/>
      <c r="H38">
        <v>650</v>
      </c>
      <c r="I38">
        <f t="shared" si="2"/>
        <v>33</v>
      </c>
    </row>
    <row r="39" spans="2:9" x14ac:dyDescent="0.25">
      <c r="B39" s="173">
        <f ca="1"/>
        <v>673</v>
      </c>
      <c r="C39" s="140" t="str">
        <f t="shared" ca="1" si="1"/>
        <v>tabn</v>
      </c>
      <c r="E39" s="140"/>
      <c r="H39">
        <v>650</v>
      </c>
      <c r="I39">
        <f t="shared" si="2"/>
        <v>34</v>
      </c>
    </row>
    <row r="40" spans="2:9" x14ac:dyDescent="0.25">
      <c r="B40" s="210">
        <f ca="1"/>
        <v>674</v>
      </c>
      <c r="C40" s="140" t="str">
        <f t="shared" ca="1" si="1"/>
        <v>tabn</v>
      </c>
      <c r="E40" s="140"/>
      <c r="H40">
        <v>651</v>
      </c>
      <c r="I40">
        <f t="shared" si="2"/>
        <v>35</v>
      </c>
    </row>
    <row r="41" spans="2:9" x14ac:dyDescent="0.25">
      <c r="B41" s="210">
        <f ca="1"/>
        <v>675</v>
      </c>
      <c r="C41" s="140" t="str">
        <f t="shared" ca="1" si="1"/>
        <v>tabn</v>
      </c>
      <c r="E41" s="140"/>
      <c r="H41">
        <v>651</v>
      </c>
      <c r="I41">
        <f t="shared" si="2"/>
        <v>36</v>
      </c>
    </row>
    <row r="42" spans="2:9" x14ac:dyDescent="0.25">
      <c r="B42" s="171">
        <f ca="1"/>
        <v>676</v>
      </c>
      <c r="C42" s="140" t="str">
        <f t="shared" ca="1" si="1"/>
        <v>tabn</v>
      </c>
      <c r="E42" s="140"/>
      <c r="H42">
        <v>651</v>
      </c>
      <c r="I42">
        <f t="shared" si="2"/>
        <v>37</v>
      </c>
    </row>
    <row r="43" spans="2:9" x14ac:dyDescent="0.25">
      <c r="B43" s="168">
        <f ca="1"/>
        <v>677</v>
      </c>
      <c r="C43" s="140" t="str">
        <f t="shared" ca="1" si="1"/>
        <v>tabn</v>
      </c>
      <c r="E43" s="140"/>
      <c r="H43">
        <v>652</v>
      </c>
      <c r="I43">
        <f t="shared" si="2"/>
        <v>38</v>
      </c>
    </row>
    <row r="44" spans="2:9" x14ac:dyDescent="0.25">
      <c r="B44" s="168">
        <f ca="1"/>
        <v>677</v>
      </c>
      <c r="C44" s="140" t="str">
        <f t="shared" ca="1" si="1"/>
        <v>tabn</v>
      </c>
      <c r="E44" s="140"/>
      <c r="H44">
        <v>653</v>
      </c>
      <c r="I44">
        <f t="shared" si="2"/>
        <v>39</v>
      </c>
    </row>
    <row r="45" spans="2:9" x14ac:dyDescent="0.25">
      <c r="B45" s="172">
        <f ca="1"/>
        <v>678</v>
      </c>
      <c r="C45" s="140" t="str">
        <f t="shared" ca="1" si="1"/>
        <v>tabn</v>
      </c>
      <c r="E45" s="140"/>
      <c r="H45">
        <v>653</v>
      </c>
      <c r="I45">
        <f t="shared" si="2"/>
        <v>40</v>
      </c>
    </row>
    <row r="46" spans="2:9" x14ac:dyDescent="0.25">
      <c r="B46" s="173">
        <f ca="1"/>
        <v>679</v>
      </c>
      <c r="C46" s="140" t="str">
        <f t="shared" ca="1" si="1"/>
        <v>tabn</v>
      </c>
      <c r="E46" s="140"/>
      <c r="H46">
        <v>654</v>
      </c>
      <c r="I46">
        <f t="shared" si="2"/>
        <v>41</v>
      </c>
    </row>
    <row r="47" spans="2:9" x14ac:dyDescent="0.25">
      <c r="B47" s="172">
        <f ca="1"/>
        <v>680</v>
      </c>
      <c r="C47" s="140" t="str">
        <f t="shared" ca="1" si="1"/>
        <v>tabn</v>
      </c>
      <c r="E47" s="140"/>
      <c r="I47">
        <f t="shared" si="2"/>
        <v>42</v>
      </c>
    </row>
    <row r="48" spans="2:9" x14ac:dyDescent="0.25">
      <c r="B48" s="167">
        <f ca="1"/>
        <v>680</v>
      </c>
      <c r="C48" s="140" t="str">
        <f t="shared" ca="1" si="1"/>
        <v>tabn</v>
      </c>
      <c r="E48" s="140"/>
      <c r="I48">
        <f t="shared" si="2"/>
        <v>43</v>
      </c>
    </row>
    <row r="49" spans="2:9" x14ac:dyDescent="0.25">
      <c r="B49" s="168">
        <f ca="1"/>
        <v>682</v>
      </c>
      <c r="C49" s="140" t="str">
        <f t="shared" ca="1" si="1"/>
        <v>EEEEEEECole</v>
      </c>
      <c r="E49" s="140"/>
      <c r="I49">
        <f t="shared" si="2"/>
        <v>44</v>
      </c>
    </row>
    <row r="50" spans="2:9" x14ac:dyDescent="0.25">
      <c r="B50" s="168">
        <f ca="1"/>
        <v>683</v>
      </c>
      <c r="C50" s="140" t="str">
        <f t="shared" ca="1" si="1"/>
        <v>tabn</v>
      </c>
      <c r="E50" s="140"/>
      <c r="I50">
        <f t="shared" si="2"/>
        <v>45</v>
      </c>
    </row>
    <row r="51" spans="2:9" x14ac:dyDescent="0.25">
      <c r="B51" s="168">
        <f ca="1"/>
        <v>683</v>
      </c>
      <c r="C51" s="140" t="str">
        <f t="shared" ca="1" si="1"/>
        <v>tabn</v>
      </c>
      <c r="E51" s="140"/>
      <c r="I51">
        <f t="shared" si="2"/>
        <v>46</v>
      </c>
    </row>
    <row r="52" spans="2:9" x14ac:dyDescent="0.25">
      <c r="B52" s="168">
        <f ca="1"/>
        <v>684</v>
      </c>
      <c r="C52" s="140" t="str">
        <f t="shared" ca="1" si="1"/>
        <v>tabn</v>
      </c>
      <c r="E52" s="140"/>
      <c r="I52">
        <f t="shared" si="2"/>
        <v>47</v>
      </c>
    </row>
    <row r="53" spans="2:9" x14ac:dyDescent="0.25">
      <c r="B53" s="168">
        <f ca="1"/>
        <v>685</v>
      </c>
      <c r="C53" s="140" t="str">
        <f t="shared" ca="1" si="1"/>
        <v>tabn</v>
      </c>
      <c r="E53" s="140"/>
      <c r="I53">
        <f t="shared" si="2"/>
        <v>48</v>
      </c>
    </row>
    <row r="54" spans="2:9" x14ac:dyDescent="0.25">
      <c r="B54" s="168">
        <f ca="1"/>
        <v>685</v>
      </c>
      <c r="C54" s="140" t="str">
        <f t="shared" ca="1" si="1"/>
        <v>tabn</v>
      </c>
      <c r="E54" s="140"/>
      <c r="I54">
        <f t="shared" si="2"/>
        <v>49</v>
      </c>
    </row>
    <row r="55" spans="2:9" x14ac:dyDescent="0.25">
      <c r="B55" s="168">
        <f ca="1"/>
        <v>686</v>
      </c>
      <c r="C55" s="140" t="str">
        <f t="shared" ca="1" si="1"/>
        <v>tabn</v>
      </c>
      <c r="E55" s="140"/>
      <c r="I55">
        <f t="shared" si="2"/>
        <v>50</v>
      </c>
    </row>
    <row r="56" spans="2:9" x14ac:dyDescent="0.25">
      <c r="B56" s="167">
        <f ca="1"/>
        <v>761</v>
      </c>
      <c r="C56" s="140" t="str">
        <f t="shared" ca="1" si="1"/>
        <v>EEEEEEECole</v>
      </c>
      <c r="E56" s="140"/>
      <c r="I56">
        <f t="shared" si="2"/>
        <v>51</v>
      </c>
    </row>
    <row r="57" spans="2:9" x14ac:dyDescent="0.25">
      <c r="B57" s="171">
        <f ca="1"/>
        <v>761</v>
      </c>
      <c r="C57" s="140" t="str">
        <f t="shared" ca="1" si="1"/>
        <v>tabn</v>
      </c>
      <c r="E57" s="140"/>
      <c r="I57">
        <f t="shared" si="2"/>
        <v>52</v>
      </c>
    </row>
    <row r="58" spans="2:9" x14ac:dyDescent="0.25">
      <c r="B58" s="167">
        <f ca="1"/>
        <v>0</v>
      </c>
      <c r="C58" s="140" t="str">
        <f t="shared" ca="1" si="1"/>
        <v>tabn</v>
      </c>
      <c r="E58" s="140"/>
      <c r="I58">
        <f t="shared" si="2"/>
        <v>53</v>
      </c>
    </row>
    <row r="59" spans="2:9" x14ac:dyDescent="0.25">
      <c r="B59" s="170">
        <f ca="1"/>
        <v>0</v>
      </c>
      <c r="C59" s="140" t="str">
        <f t="shared" ca="1" si="1"/>
        <v>tabn</v>
      </c>
      <c r="E59" s="140"/>
      <c r="I59">
        <f t="shared" si="2"/>
        <v>54</v>
      </c>
    </row>
    <row r="60" spans="2:9" x14ac:dyDescent="0.25">
      <c r="B60" s="168">
        <f ca="1"/>
        <v>0</v>
      </c>
      <c r="C60" s="140" t="str">
        <f t="shared" ca="1" si="1"/>
        <v>tabn</v>
      </c>
      <c r="E60" s="140"/>
      <c r="I60">
        <f t="shared" si="2"/>
        <v>55</v>
      </c>
    </row>
    <row r="61" spans="2:9" x14ac:dyDescent="0.25">
      <c r="B61" s="168">
        <f ca="1"/>
        <v>0</v>
      </c>
      <c r="C61" s="140" t="str">
        <f t="shared" ca="1" si="1"/>
        <v>tabn</v>
      </c>
      <c r="E61" s="140"/>
      <c r="I61">
        <f t="shared" si="2"/>
        <v>56</v>
      </c>
    </row>
    <row r="62" spans="2:9" x14ac:dyDescent="0.25">
      <c r="B62" s="168">
        <f ca="1"/>
        <v>0</v>
      </c>
      <c r="C62" s="140" t="str">
        <f t="shared" ca="1" si="1"/>
        <v>tabn</v>
      </c>
      <c r="E62" s="140"/>
      <c r="I62">
        <f t="shared" si="2"/>
        <v>57</v>
      </c>
    </row>
    <row r="63" spans="2:9" x14ac:dyDescent="0.25">
      <c r="B63" s="168">
        <f ca="1"/>
        <v>0</v>
      </c>
      <c r="C63" s="140" t="str">
        <f t="shared" ca="1" si="1"/>
        <v>tabn</v>
      </c>
      <c r="E63" s="140"/>
      <c r="I63">
        <f t="shared" si="2"/>
        <v>58</v>
      </c>
    </row>
    <row r="64" spans="2:9" x14ac:dyDescent="0.25">
      <c r="B64" s="84">
        <f ca="1"/>
        <v>0</v>
      </c>
      <c r="C64" s="140" t="str">
        <f t="shared" ca="1" si="1"/>
        <v>tabn</v>
      </c>
      <c r="E64" s="140"/>
      <c r="I64">
        <f t="shared" si="2"/>
        <v>59</v>
      </c>
    </row>
    <row r="65" spans="2:9" x14ac:dyDescent="0.25">
      <c r="B65" s="167">
        <f ca="1"/>
        <v>0</v>
      </c>
      <c r="C65" s="140" t="str">
        <f t="shared" ca="1" si="1"/>
        <v>tabn</v>
      </c>
      <c r="E65" s="140"/>
      <c r="I65">
        <f t="shared" si="2"/>
        <v>60</v>
      </c>
    </row>
    <row r="66" spans="2:9" x14ac:dyDescent="0.25">
      <c r="B66" s="168">
        <f ca="1"/>
        <v>0</v>
      </c>
      <c r="C66" s="140" t="str">
        <f t="shared" ca="1" si="1"/>
        <v>tabn</v>
      </c>
      <c r="E66" s="140"/>
      <c r="I66">
        <f t="shared" si="2"/>
        <v>61</v>
      </c>
    </row>
    <row r="67" spans="2:9" x14ac:dyDescent="0.25">
      <c r="B67" s="168">
        <f ca="1"/>
        <v>0</v>
      </c>
      <c r="C67" s="140" t="str">
        <f t="shared" ca="1" si="1"/>
        <v>tabn</v>
      </c>
      <c r="E67" s="140"/>
      <c r="I67">
        <f t="shared" si="2"/>
        <v>62</v>
      </c>
    </row>
    <row r="68" spans="2:9" x14ac:dyDescent="0.25">
      <c r="B68" s="167">
        <f ca="1"/>
        <v>0</v>
      </c>
      <c r="C68" s="140" t="str">
        <f t="shared" ca="1" si="1"/>
        <v>tabn</v>
      </c>
      <c r="E68" s="140"/>
      <c r="H68" cm="1">
        <f t="array" ref="H68:H111">_xlfn._xlws.FILTER(_xlfn._xlws.SORT(Tabla2[RECIBO ACTUAL],1,1,FALSE),_xlfn._xlws.SORT(Tabla2[RECIBO ACTUAL],1,1,FALSE)&lt;&gt;0,"")</f>
        <v>655</v>
      </c>
      <c r="I68">
        <f t="shared" si="2"/>
        <v>63</v>
      </c>
    </row>
    <row r="69" spans="2:9" x14ac:dyDescent="0.25">
      <c r="B69" s="168">
        <f ca="1"/>
        <v>0</v>
      </c>
      <c r="C69" s="140" t="str">
        <f t="shared" ca="1" si="1"/>
        <v>tabn</v>
      </c>
      <c r="E69" s="140"/>
      <c r="H69">
        <v>655</v>
      </c>
      <c r="I69">
        <f t="shared" si="2"/>
        <v>64</v>
      </c>
    </row>
    <row r="70" spans="2:9" x14ac:dyDescent="0.25">
      <c r="B70" s="171">
        <f ca="1"/>
        <v>0</v>
      </c>
      <c r="C70" s="140" t="str">
        <f t="shared" ca="1" si="1"/>
        <v>tabn</v>
      </c>
      <c r="E70" s="140"/>
      <c r="H70">
        <v>656</v>
      </c>
      <c r="I70">
        <f t="shared" si="2"/>
        <v>65</v>
      </c>
    </row>
    <row r="71" spans="2:9" x14ac:dyDescent="0.25">
      <c r="B71" s="172">
        <f ca="1"/>
        <v>0</v>
      </c>
      <c r="C71" s="140" t="str">
        <f t="shared" ca="1" si="1"/>
        <v>tabn</v>
      </c>
      <c r="E71" s="140"/>
      <c r="H71">
        <v>657</v>
      </c>
      <c r="I71">
        <f t="shared" si="2"/>
        <v>66</v>
      </c>
    </row>
    <row r="72" spans="2:9" x14ac:dyDescent="0.25">
      <c r="B72" s="168">
        <f ca="1"/>
        <v>0</v>
      </c>
      <c r="C72" s="140" t="str">
        <f t="shared" ref="C72:C125" ca="1" si="3">IFERROR(IF(B72-B71&gt;1,"EEEEEEECole","tabn"),"")</f>
        <v>tabn</v>
      </c>
      <c r="E72" s="140"/>
      <c r="H72">
        <v>658</v>
      </c>
      <c r="I72">
        <f t="shared" ref="I72:I126" si="4">I71+1</f>
        <v>67</v>
      </c>
    </row>
    <row r="73" spans="2:9" x14ac:dyDescent="0.25">
      <c r="B73" s="172">
        <f ca="1"/>
        <v>0</v>
      </c>
      <c r="C73" s="140" t="str">
        <f t="shared" ca="1" si="3"/>
        <v>tabn</v>
      </c>
      <c r="E73" s="140"/>
      <c r="H73">
        <v>659</v>
      </c>
      <c r="I73">
        <f t="shared" si="4"/>
        <v>68</v>
      </c>
    </row>
    <row r="74" spans="2:9" x14ac:dyDescent="0.25">
      <c r="B74" s="210">
        <f ca="1"/>
        <v>0</v>
      </c>
      <c r="C74" s="140" t="str">
        <f t="shared" ca="1" si="3"/>
        <v>tabn</v>
      </c>
      <c r="E74" s="140"/>
      <c r="H74">
        <v>659</v>
      </c>
      <c r="I74">
        <f t="shared" si="4"/>
        <v>69</v>
      </c>
    </row>
    <row r="75" spans="2:9" x14ac:dyDescent="0.25">
      <c r="B75" s="172">
        <f ca="1"/>
        <v>0</v>
      </c>
      <c r="C75" s="140" t="str">
        <f t="shared" ca="1" si="3"/>
        <v>tabn</v>
      </c>
      <c r="E75" s="140"/>
      <c r="H75">
        <v>660</v>
      </c>
      <c r="I75">
        <f t="shared" si="4"/>
        <v>70</v>
      </c>
    </row>
    <row r="76" spans="2:9" x14ac:dyDescent="0.25">
      <c r="B76" s="172">
        <f ca="1"/>
        <v>0</v>
      </c>
      <c r="C76" s="140" t="str">
        <f t="shared" ca="1" si="3"/>
        <v>tabn</v>
      </c>
      <c r="E76" s="140"/>
      <c r="H76">
        <v>660</v>
      </c>
      <c r="I76">
        <f t="shared" si="4"/>
        <v>71</v>
      </c>
    </row>
    <row r="77" spans="2:9" x14ac:dyDescent="0.25">
      <c r="B77" s="168">
        <f ca="1"/>
        <v>0</v>
      </c>
      <c r="C77" s="140" t="str">
        <f t="shared" ca="1" si="3"/>
        <v>tabn</v>
      </c>
      <c r="E77" s="140"/>
      <c r="H77">
        <v>661</v>
      </c>
      <c r="I77">
        <f t="shared" si="4"/>
        <v>72</v>
      </c>
    </row>
    <row r="78" spans="2:9" x14ac:dyDescent="0.25">
      <c r="B78" s="168">
        <f ca="1"/>
        <v>0</v>
      </c>
      <c r="C78" s="140" t="str">
        <f t="shared" ca="1" si="3"/>
        <v>tabn</v>
      </c>
      <c r="E78" s="140"/>
      <c r="H78">
        <v>661</v>
      </c>
      <c r="I78">
        <f t="shared" si="4"/>
        <v>73</v>
      </c>
    </row>
    <row r="79" spans="2:9" x14ac:dyDescent="0.25">
      <c r="B79" s="172">
        <f ca="1"/>
        <v>0</v>
      </c>
      <c r="C79" s="140" t="str">
        <f t="shared" ca="1" si="3"/>
        <v>tabn</v>
      </c>
      <c r="E79" s="140"/>
      <c r="H79">
        <v>662</v>
      </c>
      <c r="I79">
        <f t="shared" si="4"/>
        <v>74</v>
      </c>
    </row>
    <row r="80" spans="2:9" x14ac:dyDescent="0.25">
      <c r="B80" s="173">
        <f ca="1"/>
        <v>0</v>
      </c>
      <c r="C80" s="140" t="str">
        <f t="shared" ca="1" si="3"/>
        <v>tabn</v>
      </c>
      <c r="E80" s="140"/>
      <c r="H80">
        <v>663</v>
      </c>
      <c r="I80">
        <f t="shared" si="4"/>
        <v>75</v>
      </c>
    </row>
    <row r="81" spans="2:9" x14ac:dyDescent="0.25">
      <c r="B81" s="172">
        <f ca="1"/>
        <v>0</v>
      </c>
      <c r="C81" s="140" t="str">
        <f t="shared" ca="1" si="3"/>
        <v>tabn</v>
      </c>
      <c r="E81" s="140"/>
      <c r="H81">
        <v>663</v>
      </c>
      <c r="I81">
        <f t="shared" si="4"/>
        <v>76</v>
      </c>
    </row>
    <row r="82" spans="2:9" x14ac:dyDescent="0.25">
      <c r="B82" s="168">
        <f ca="1"/>
        <v>0</v>
      </c>
      <c r="C82" s="140" t="str">
        <f t="shared" ca="1" si="3"/>
        <v>tabn</v>
      </c>
      <c r="E82" s="140"/>
      <c r="F82">
        <v>181</v>
      </c>
      <c r="H82">
        <v>664</v>
      </c>
      <c r="I82">
        <f t="shared" si="4"/>
        <v>77</v>
      </c>
    </row>
    <row r="83" spans="2:9" x14ac:dyDescent="0.25">
      <c r="B83" s="168">
        <f ca="1"/>
        <v>0</v>
      </c>
      <c r="C83" s="140" t="str">
        <f t="shared" ca="1" si="3"/>
        <v>tabn</v>
      </c>
      <c r="E83" s="140"/>
      <c r="F83">
        <v>200</v>
      </c>
      <c r="H83">
        <v>665</v>
      </c>
      <c r="I83">
        <f t="shared" si="4"/>
        <v>78</v>
      </c>
    </row>
    <row r="84" spans="2:9" x14ac:dyDescent="0.25">
      <c r="B84" s="211">
        <f ca="1"/>
        <v>0</v>
      </c>
      <c r="C84" s="140" t="str">
        <f t="shared" ca="1" si="3"/>
        <v>tabn</v>
      </c>
      <c r="E84" s="140"/>
      <c r="H84">
        <v>666</v>
      </c>
      <c r="I84">
        <f t="shared" si="4"/>
        <v>79</v>
      </c>
    </row>
    <row r="85" spans="2:9" x14ac:dyDescent="0.25">
      <c r="B85">
        <f ca="1"/>
        <v>0</v>
      </c>
      <c r="C85" s="140" t="str">
        <f t="shared" ca="1" si="3"/>
        <v>tabn</v>
      </c>
      <c r="E85" s="140"/>
      <c r="H85">
        <v>667</v>
      </c>
      <c r="I85">
        <f t="shared" si="4"/>
        <v>80</v>
      </c>
    </row>
    <row r="86" spans="2:9" x14ac:dyDescent="0.25">
      <c r="B86">
        <f ca="1"/>
        <v>0</v>
      </c>
      <c r="C86" s="140" t="str">
        <f t="shared" ca="1" si="3"/>
        <v>tabn</v>
      </c>
      <c r="E86" s="140"/>
      <c r="H86">
        <v>668</v>
      </c>
      <c r="I86">
        <f t="shared" si="4"/>
        <v>81</v>
      </c>
    </row>
    <row r="87" spans="2:9" x14ac:dyDescent="0.25">
      <c r="B87">
        <f ca="1"/>
        <v>0</v>
      </c>
      <c r="C87" s="140" t="str">
        <f t="shared" ca="1" si="3"/>
        <v>tabn</v>
      </c>
      <c r="E87" s="140"/>
      <c r="H87">
        <v>669</v>
      </c>
      <c r="I87">
        <f t="shared" si="4"/>
        <v>82</v>
      </c>
    </row>
    <row r="88" spans="2:9" x14ac:dyDescent="0.25">
      <c r="B88">
        <f ca="1"/>
        <v>0</v>
      </c>
      <c r="C88" s="140" t="str">
        <f t="shared" ca="1" si="3"/>
        <v>tabn</v>
      </c>
      <c r="E88" s="140"/>
      <c r="H88">
        <v>670</v>
      </c>
      <c r="I88">
        <f t="shared" si="4"/>
        <v>83</v>
      </c>
    </row>
    <row r="89" spans="2:9" x14ac:dyDescent="0.25">
      <c r="B89">
        <f ca="1"/>
        <v>0</v>
      </c>
      <c r="C89" s="140" t="str">
        <f t="shared" ca="1" si="3"/>
        <v>tabn</v>
      </c>
      <c r="E89" s="140"/>
      <c r="H89">
        <v>671</v>
      </c>
      <c r="I89">
        <f t="shared" si="4"/>
        <v>84</v>
      </c>
    </row>
    <row r="90" spans="2:9" x14ac:dyDescent="0.25">
      <c r="B90">
        <f ca="1"/>
        <v>0</v>
      </c>
      <c r="C90" s="140" t="str">
        <f t="shared" ca="1" si="3"/>
        <v>tabn</v>
      </c>
      <c r="E90" s="140"/>
      <c r="H90">
        <v>672</v>
      </c>
      <c r="I90">
        <f t="shared" si="4"/>
        <v>85</v>
      </c>
    </row>
    <row r="91" spans="2:9" x14ac:dyDescent="0.25">
      <c r="B91">
        <f ca="1"/>
        <v>0</v>
      </c>
      <c r="C91" s="140" t="str">
        <f t="shared" ca="1" si="3"/>
        <v>tabn</v>
      </c>
      <c r="E91" s="140"/>
      <c r="H91">
        <v>672</v>
      </c>
      <c r="I91">
        <f t="shared" si="4"/>
        <v>86</v>
      </c>
    </row>
    <row r="92" spans="2:9" x14ac:dyDescent="0.25">
      <c r="C92" s="140" t="str">
        <f t="shared" ca="1" si="3"/>
        <v>tabn</v>
      </c>
      <c r="E92" s="140"/>
      <c r="H92">
        <v>672</v>
      </c>
      <c r="I92">
        <f t="shared" si="4"/>
        <v>87</v>
      </c>
    </row>
    <row r="93" spans="2:9" x14ac:dyDescent="0.25">
      <c r="C93" s="140" t="str">
        <f t="shared" si="3"/>
        <v>tabn</v>
      </c>
      <c r="E93" s="140"/>
      <c r="H93">
        <v>673</v>
      </c>
      <c r="I93">
        <f t="shared" si="4"/>
        <v>88</v>
      </c>
    </row>
    <row r="94" spans="2:9" x14ac:dyDescent="0.25">
      <c r="C94" s="140" t="str">
        <f t="shared" si="3"/>
        <v>tabn</v>
      </c>
      <c r="E94" s="140"/>
      <c r="H94">
        <v>674</v>
      </c>
      <c r="I94">
        <f t="shared" si="4"/>
        <v>89</v>
      </c>
    </row>
    <row r="95" spans="2:9" x14ac:dyDescent="0.25">
      <c r="C95" s="140" t="str">
        <f t="shared" si="3"/>
        <v>tabn</v>
      </c>
      <c r="E95" s="140"/>
      <c r="H95">
        <v>675</v>
      </c>
      <c r="I95">
        <f t="shared" si="4"/>
        <v>90</v>
      </c>
    </row>
    <row r="96" spans="2:9" x14ac:dyDescent="0.25">
      <c r="C96" s="140" t="str">
        <f t="shared" si="3"/>
        <v>tabn</v>
      </c>
      <c r="E96" s="140"/>
      <c r="H96">
        <v>676</v>
      </c>
      <c r="I96">
        <f t="shared" si="4"/>
        <v>91</v>
      </c>
    </row>
    <row r="97" spans="3:9" x14ac:dyDescent="0.25">
      <c r="C97" s="140" t="str">
        <f t="shared" si="3"/>
        <v>tabn</v>
      </c>
      <c r="E97" s="140"/>
      <c r="H97">
        <v>677</v>
      </c>
      <c r="I97">
        <f t="shared" si="4"/>
        <v>92</v>
      </c>
    </row>
    <row r="98" spans="3:9" x14ac:dyDescent="0.25">
      <c r="C98" s="140" t="str">
        <f t="shared" si="3"/>
        <v>tabn</v>
      </c>
      <c r="E98" s="140"/>
      <c r="H98">
        <v>677</v>
      </c>
      <c r="I98">
        <f t="shared" si="4"/>
        <v>93</v>
      </c>
    </row>
    <row r="99" spans="3:9" x14ac:dyDescent="0.25">
      <c r="C99" s="140" t="str">
        <f t="shared" si="3"/>
        <v>tabn</v>
      </c>
      <c r="E99" s="140"/>
      <c r="H99">
        <v>678</v>
      </c>
      <c r="I99">
        <f t="shared" si="4"/>
        <v>94</v>
      </c>
    </row>
    <row r="100" spans="3:9" x14ac:dyDescent="0.25">
      <c r="C100" s="140" t="str">
        <f t="shared" si="3"/>
        <v>tabn</v>
      </c>
      <c r="E100" s="140"/>
      <c r="H100">
        <v>679</v>
      </c>
      <c r="I100">
        <f t="shared" si="4"/>
        <v>95</v>
      </c>
    </row>
    <row r="101" spans="3:9" x14ac:dyDescent="0.25">
      <c r="C101" s="140" t="str">
        <f t="shared" si="3"/>
        <v>tabn</v>
      </c>
      <c r="E101" s="140"/>
      <c r="H101">
        <v>680</v>
      </c>
      <c r="I101">
        <f t="shared" si="4"/>
        <v>96</v>
      </c>
    </row>
    <row r="102" spans="3:9" x14ac:dyDescent="0.25">
      <c r="C102" s="140" t="str">
        <f t="shared" si="3"/>
        <v>tabn</v>
      </c>
      <c r="E102" s="140"/>
      <c r="H102">
        <v>680</v>
      </c>
      <c r="I102">
        <f t="shared" si="4"/>
        <v>97</v>
      </c>
    </row>
    <row r="103" spans="3:9" x14ac:dyDescent="0.25">
      <c r="C103" s="140" t="str">
        <f t="shared" si="3"/>
        <v>tabn</v>
      </c>
      <c r="E103" s="140"/>
      <c r="H103">
        <v>682</v>
      </c>
      <c r="I103">
        <f t="shared" si="4"/>
        <v>98</v>
      </c>
    </row>
    <row r="104" spans="3:9" x14ac:dyDescent="0.25">
      <c r="C104" s="140" t="str">
        <f t="shared" si="3"/>
        <v>tabn</v>
      </c>
      <c r="E104" s="140"/>
      <c r="H104">
        <v>683</v>
      </c>
      <c r="I104">
        <f t="shared" si="4"/>
        <v>99</v>
      </c>
    </row>
    <row r="105" spans="3:9" x14ac:dyDescent="0.25">
      <c r="C105" s="140" t="str">
        <f t="shared" si="3"/>
        <v>tabn</v>
      </c>
      <c r="E105" s="140"/>
      <c r="G105" t="s">
        <v>111</v>
      </c>
      <c r="H105">
        <v>683</v>
      </c>
      <c r="I105">
        <f t="shared" si="4"/>
        <v>100</v>
      </c>
    </row>
    <row r="106" spans="3:9" x14ac:dyDescent="0.25">
      <c r="C106" s="140" t="str">
        <f t="shared" si="3"/>
        <v>tabn</v>
      </c>
      <c r="H106">
        <v>684</v>
      </c>
      <c r="I106">
        <f t="shared" si="4"/>
        <v>101</v>
      </c>
    </row>
    <row r="107" spans="3:9" x14ac:dyDescent="0.25">
      <c r="C107" s="140" t="str">
        <f t="shared" si="3"/>
        <v>tabn</v>
      </c>
      <c r="H107">
        <v>685</v>
      </c>
      <c r="I107">
        <f t="shared" si="4"/>
        <v>102</v>
      </c>
    </row>
    <row r="108" spans="3:9" x14ac:dyDescent="0.25">
      <c r="C108" s="140" t="str">
        <f t="shared" si="3"/>
        <v>tabn</v>
      </c>
      <c r="H108">
        <v>685</v>
      </c>
      <c r="I108">
        <f t="shared" si="4"/>
        <v>103</v>
      </c>
    </row>
    <row r="109" spans="3:9" x14ac:dyDescent="0.25">
      <c r="C109" s="140" t="str">
        <f t="shared" si="3"/>
        <v>tabn</v>
      </c>
      <c r="H109">
        <v>686</v>
      </c>
      <c r="I109">
        <f t="shared" si="4"/>
        <v>104</v>
      </c>
    </row>
    <row r="110" spans="3:9" x14ac:dyDescent="0.25">
      <c r="C110" s="140" t="str">
        <f t="shared" si="3"/>
        <v>tabn</v>
      </c>
      <c r="H110">
        <v>761</v>
      </c>
      <c r="I110">
        <f t="shared" si="4"/>
        <v>105</v>
      </c>
    </row>
    <row r="111" spans="3:9" x14ac:dyDescent="0.25">
      <c r="C111" s="140" t="str">
        <f t="shared" si="3"/>
        <v>tabn</v>
      </c>
      <c r="H111">
        <v>761</v>
      </c>
      <c r="I111">
        <f t="shared" si="4"/>
        <v>106</v>
      </c>
    </row>
    <row r="112" spans="3:9" x14ac:dyDescent="0.25">
      <c r="C112" s="140" t="str">
        <f t="shared" si="3"/>
        <v>tabn</v>
      </c>
      <c r="I112">
        <f t="shared" si="4"/>
        <v>107</v>
      </c>
    </row>
    <row r="113" spans="3:9" x14ac:dyDescent="0.25">
      <c r="C113" s="140" t="str">
        <f t="shared" si="3"/>
        <v>tabn</v>
      </c>
      <c r="I113">
        <f t="shared" si="4"/>
        <v>108</v>
      </c>
    </row>
    <row r="114" spans="3:9" x14ac:dyDescent="0.25">
      <c r="C114" s="140" t="str">
        <f t="shared" si="3"/>
        <v>tabn</v>
      </c>
      <c r="I114">
        <f t="shared" si="4"/>
        <v>109</v>
      </c>
    </row>
    <row r="115" spans="3:9" x14ac:dyDescent="0.25">
      <c r="C115" s="140" t="str">
        <f t="shared" si="3"/>
        <v>tabn</v>
      </c>
      <c r="I115">
        <f t="shared" si="4"/>
        <v>110</v>
      </c>
    </row>
    <row r="116" spans="3:9" x14ac:dyDescent="0.25">
      <c r="C116" s="140" t="str">
        <f t="shared" si="3"/>
        <v>tabn</v>
      </c>
      <c r="I116">
        <f t="shared" si="4"/>
        <v>111</v>
      </c>
    </row>
    <row r="117" spans="3:9" x14ac:dyDescent="0.25">
      <c r="C117" s="140" t="str">
        <f t="shared" si="3"/>
        <v>tabn</v>
      </c>
      <c r="I117">
        <f t="shared" si="4"/>
        <v>112</v>
      </c>
    </row>
    <row r="118" spans="3:9" x14ac:dyDescent="0.25">
      <c r="C118" s="140" t="str">
        <f t="shared" si="3"/>
        <v>tabn</v>
      </c>
      <c r="I118">
        <f t="shared" si="4"/>
        <v>113</v>
      </c>
    </row>
    <row r="119" spans="3:9" x14ac:dyDescent="0.25">
      <c r="C119" s="140" t="str">
        <f t="shared" si="3"/>
        <v>tabn</v>
      </c>
      <c r="I119">
        <f t="shared" si="4"/>
        <v>114</v>
      </c>
    </row>
    <row r="120" spans="3:9" x14ac:dyDescent="0.25">
      <c r="C120" s="140" t="str">
        <f t="shared" si="3"/>
        <v>tabn</v>
      </c>
      <c r="I120">
        <f t="shared" si="4"/>
        <v>115</v>
      </c>
    </row>
    <row r="121" spans="3:9" x14ac:dyDescent="0.25">
      <c r="C121" s="140" t="str">
        <f t="shared" si="3"/>
        <v>tabn</v>
      </c>
      <c r="I121">
        <f t="shared" si="4"/>
        <v>116</v>
      </c>
    </row>
    <row r="122" spans="3:9" x14ac:dyDescent="0.25">
      <c r="C122" s="140" t="str">
        <f t="shared" si="3"/>
        <v>tabn</v>
      </c>
      <c r="I122">
        <f t="shared" si="4"/>
        <v>117</v>
      </c>
    </row>
    <row r="123" spans="3:9" x14ac:dyDescent="0.25">
      <c r="C123" s="140" t="str">
        <f t="shared" si="3"/>
        <v>tabn</v>
      </c>
      <c r="I123">
        <f t="shared" si="4"/>
        <v>118</v>
      </c>
    </row>
    <row r="124" spans="3:9" x14ac:dyDescent="0.25">
      <c r="C124" s="140" t="str">
        <f t="shared" si="3"/>
        <v>tabn</v>
      </c>
      <c r="I124">
        <f t="shared" si="4"/>
        <v>119</v>
      </c>
    </row>
    <row r="125" spans="3:9" x14ac:dyDescent="0.25">
      <c r="C125" s="140" t="str">
        <f t="shared" si="3"/>
        <v>tabn</v>
      </c>
      <c r="I125">
        <f t="shared" si="4"/>
        <v>120</v>
      </c>
    </row>
    <row r="126" spans="3:9" x14ac:dyDescent="0.25">
      <c r="I126">
        <f t="shared" si="4"/>
        <v>121</v>
      </c>
    </row>
  </sheetData>
  <sortState xmlns:xlrd2="http://schemas.microsoft.com/office/spreadsheetml/2017/richdata2" ref="B6:B85">
    <sortCondition ref="B6:B85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>
                <anchor moveWithCells="1">
                  <from>
                    <xdr:col>1</xdr:col>
                    <xdr:colOff>114300</xdr:colOff>
                    <xdr:row>1</xdr:row>
                    <xdr:rowOff>95250</xdr:rowOff>
                  </from>
                  <to>
                    <xdr:col>3</xdr:col>
                    <xdr:colOff>57150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17387-AF6C-4100-8293-B4C4F0F542FD}">
  <sheetPr codeName="Hoja2">
    <pageSetUpPr fitToPage="1"/>
  </sheetPr>
  <dimension ref="A1:AP162"/>
  <sheetViews>
    <sheetView tabSelected="1" topLeftCell="A99" zoomScale="85" zoomScaleNormal="85" workbookViewId="0">
      <selection activeCell="K158" sqref="K158"/>
    </sheetView>
  </sheetViews>
  <sheetFormatPr baseColWidth="10" defaultRowHeight="15" outlineLevelCol="2" x14ac:dyDescent="0.25"/>
  <cols>
    <col min="2" max="2" width="8.85546875" customWidth="1"/>
    <col min="3" max="3" width="5.5703125" customWidth="1"/>
    <col min="4" max="4" width="20.28515625" bestFit="1" customWidth="1"/>
    <col min="5" max="5" width="11.42578125" hidden="1" customWidth="1"/>
    <col min="6" max="6" width="4.42578125" customWidth="1"/>
    <col min="7" max="7" width="20.28515625" customWidth="1"/>
    <col min="8" max="8" width="14" bestFit="1" customWidth="1"/>
    <col min="9" max="9" width="32.42578125" customWidth="1"/>
    <col min="10" max="10" width="6.42578125" bestFit="1" customWidth="1"/>
    <col min="11" max="11" width="17.42578125" bestFit="1" customWidth="1"/>
    <col min="12" max="12" width="11.7109375" customWidth="1"/>
    <col min="13" max="13" width="11.42578125" customWidth="1" outlineLevel="1"/>
    <col min="14" max="14" width="16.5703125" customWidth="1" outlineLevel="1"/>
    <col min="15" max="15" width="10.85546875" customWidth="1" outlineLevel="1"/>
    <col min="16" max="16" width="15.28515625" customWidth="1" outlineLevel="1"/>
    <col min="17" max="17" width="10.85546875" customWidth="1" outlineLevel="1"/>
    <col min="18" max="18" width="12.28515625" customWidth="1" outlineLevel="1"/>
    <col min="19" max="19" width="17.140625" customWidth="1" outlineLevel="1"/>
    <col min="20" max="20" width="13.7109375" customWidth="1" outlineLevel="1"/>
    <col min="21" max="21" width="8" customWidth="1" outlineLevel="1"/>
    <col min="22" max="22" width="17.140625" customWidth="1" outlineLevel="1"/>
    <col min="23" max="23" width="38.42578125" customWidth="1" outlineLevel="2"/>
    <col min="24" max="24" width="19.28515625" customWidth="1" outlineLevel="2"/>
    <col min="25" max="25" width="29" customWidth="1" outlineLevel="2"/>
    <col min="26" max="26" width="15.42578125" customWidth="1" outlineLevel="2"/>
    <col min="27" max="27" width="39.42578125" customWidth="1" outlineLevel="1"/>
    <col min="28" max="29" width="16.85546875" customWidth="1" outlineLevel="1"/>
    <col min="30" max="30" width="12" customWidth="1" outlineLevel="1"/>
    <col min="31" max="31" width="17.5703125" customWidth="1" outlineLevel="1"/>
    <col min="32" max="32" width="14.28515625" customWidth="1" outlineLevel="1"/>
    <col min="33" max="33" width="28.7109375" customWidth="1" outlineLevel="1"/>
    <col min="35" max="35" width="15.5703125" customWidth="1"/>
    <col min="36" max="36" width="26.140625" hidden="1" customWidth="1"/>
    <col min="37" max="37" width="17.7109375" customWidth="1"/>
    <col min="38" max="38" width="15.140625" customWidth="1"/>
    <col min="42" max="42" width="11.85546875" bestFit="1" customWidth="1"/>
    <col min="43" max="16384" width="11.42578125" style="115"/>
  </cols>
  <sheetData>
    <row r="1" spans="2:41" x14ac:dyDescent="0.25">
      <c r="B1">
        <v>1</v>
      </c>
    </row>
    <row r="5" spans="2:41" x14ac:dyDescent="0.25">
      <c r="D5" s="96"/>
    </row>
    <row r="6" spans="2:41" x14ac:dyDescent="0.25">
      <c r="D6">
        <f ca="1">YEAR(TODAY())</f>
        <v>2026</v>
      </c>
      <c r="O6" s="165"/>
      <c r="P6" s="165"/>
      <c r="Q6" s="165"/>
    </row>
    <row r="8" spans="2:41" x14ac:dyDescent="0.25">
      <c r="D8" t="str">
        <f>IF(COUNTA(_xlfn.UNIQUE(Tabla2[DÍA]))&gt;7,"WIIIIUUUUWIIIIUUUUU","tabn")</f>
        <v>WIIIIUUUUWIIIIUUUUU</v>
      </c>
      <c r="O8" s="96"/>
      <c r="P8" s="96"/>
      <c r="Q8" s="96"/>
    </row>
    <row r="9" spans="2:41" x14ac:dyDescent="0.25">
      <c r="AB9" s="90"/>
      <c r="AC9" s="90"/>
    </row>
    <row r="10" spans="2:41" x14ac:dyDescent="0.25">
      <c r="AB10" s="90"/>
      <c r="AC10" s="90"/>
    </row>
    <row r="11" spans="2:41" x14ac:dyDescent="0.25">
      <c r="AB11" s="90"/>
      <c r="AC11" s="90"/>
    </row>
    <row r="12" spans="2:41" x14ac:dyDescent="0.25">
      <c r="AB12" s="90"/>
      <c r="AC12" s="90"/>
    </row>
    <row r="13" spans="2:41" x14ac:dyDescent="0.25">
      <c r="AB13" s="90"/>
      <c r="AC13" s="90"/>
    </row>
    <row r="14" spans="2:41" x14ac:dyDescent="0.25">
      <c r="AB14" s="90"/>
      <c r="AC14" s="90"/>
    </row>
    <row r="15" spans="2:41" x14ac:dyDescent="0.25">
      <c r="AB15" s="90"/>
      <c r="AC15" s="90"/>
    </row>
    <row r="16" spans="2:41" x14ac:dyDescent="0.25">
      <c r="B16" s="207"/>
      <c r="C16" s="89" t="s">
        <v>171</v>
      </c>
      <c r="H16" s="253"/>
      <c r="K16">
        <v>3</v>
      </c>
      <c r="R16">
        <v>1</v>
      </c>
      <c r="AO16">
        <v>2</v>
      </c>
    </row>
    <row r="17" spans="2:42" ht="63" x14ac:dyDescent="0.25">
      <c r="B17" s="75" t="s">
        <v>473</v>
      </c>
      <c r="C17" s="1" t="s">
        <v>569</v>
      </c>
      <c r="D17" s="2" t="s">
        <v>433</v>
      </c>
      <c r="E17" s="2" t="s">
        <v>253</v>
      </c>
      <c r="F17" s="2" t="s">
        <v>311</v>
      </c>
      <c r="G17" s="2" t="s">
        <v>1</v>
      </c>
      <c r="H17" s="2" t="s">
        <v>568</v>
      </c>
      <c r="I17" s="103" t="s">
        <v>549</v>
      </c>
      <c r="J17" s="103" t="s">
        <v>338</v>
      </c>
      <c r="K17" s="2" t="s">
        <v>2</v>
      </c>
      <c r="L17" s="2" t="s">
        <v>3</v>
      </c>
      <c r="M17" s="2" t="s">
        <v>4</v>
      </c>
      <c r="N17" s="2" t="s">
        <v>5</v>
      </c>
      <c r="O17" s="2" t="s">
        <v>6</v>
      </c>
      <c r="P17" s="2" t="s">
        <v>448</v>
      </c>
      <c r="Q17" s="2" t="s">
        <v>449</v>
      </c>
      <c r="R17" s="2" t="s">
        <v>7</v>
      </c>
      <c r="S17" s="2" t="s">
        <v>8</v>
      </c>
      <c r="T17" s="2" t="s">
        <v>552</v>
      </c>
      <c r="U17" s="2" t="s">
        <v>553</v>
      </c>
      <c r="V17" s="2" t="s">
        <v>9</v>
      </c>
      <c r="W17" s="2" t="s">
        <v>441</v>
      </c>
      <c r="X17" s="2" t="s">
        <v>318</v>
      </c>
      <c r="Y17" s="2" t="s">
        <v>316</v>
      </c>
      <c r="Z17" s="2" t="s">
        <v>317</v>
      </c>
      <c r="AA17" s="2" t="s">
        <v>315</v>
      </c>
      <c r="AB17" s="2" t="s">
        <v>12</v>
      </c>
      <c r="AC17" s="2" t="s">
        <v>13</v>
      </c>
      <c r="AD17" s="2" t="s">
        <v>337</v>
      </c>
      <c r="AE17" s="3" t="s">
        <v>14</v>
      </c>
      <c r="AF17" s="2" t="s">
        <v>15</v>
      </c>
      <c r="AG17" s="2" t="s">
        <v>16</v>
      </c>
      <c r="AH17" s="76" t="s">
        <v>551</v>
      </c>
      <c r="AI17" s="3" t="s">
        <v>102</v>
      </c>
      <c r="AJ17" s="2" t="s">
        <v>17</v>
      </c>
      <c r="AK17" s="4" t="s">
        <v>550</v>
      </c>
      <c r="AL17" s="3" t="s">
        <v>104</v>
      </c>
      <c r="AM17" s="2" t="s">
        <v>556</v>
      </c>
      <c r="AN17" s="2" t="s">
        <v>103</v>
      </c>
      <c r="AO17" s="75" t="s">
        <v>346</v>
      </c>
      <c r="AP17" s="75" t="s">
        <v>345</v>
      </c>
    </row>
    <row r="18" spans="2:42" ht="15" hidden="1" customHeight="1" x14ac:dyDescent="0.25">
      <c r="B18" s="206"/>
      <c r="C18" s="205" t="str">
        <f>IFERROR(IF(Tabla2[[#This Row],[Status]]="",0,IF(LEFT(Tabla2[[#This Row],[Status]],4)="Baja",C17,C17+1)),1)</f>
        <v>0</v>
      </c>
      <c r="D18" s="87" t="s">
        <v>148</v>
      </c>
      <c r="E18" s="87" t="str">
        <f>IF(AND(Tabla2[[#This Row],[RECIBO ACTUAL]]="",Tabla2[[#This Row],[Status]]="Activo"),"paguenmelaren","")</f>
        <v/>
      </c>
      <c r="F18" s="87"/>
      <c r="G18" s="182">
        <v>45315</v>
      </c>
      <c r="H18" s="204" t="str">
        <f>IFERROR(CONCATENATE("AGS015",MID(Tabla2[[#This Row],[ALUMNO]],1,2),MID(Tabla2[[#This Row],[ALUMNO]],FIND(" ",Tabla2[[#This Row],[ALUMNO]],1)+1,2)),"Aguas")</f>
        <v>AGS015AlTi</v>
      </c>
      <c r="I18" s="7" t="s">
        <v>156</v>
      </c>
      <c r="J18" s="7" t="str">
        <f ca="1">IFERROR(YEAR(TODAY())-Tabla2[[#This Row],[año]],"")</f>
        <v/>
      </c>
      <c r="K18" s="8" t="s">
        <v>555</v>
      </c>
      <c r="L18" s="9" t="s">
        <v>21</v>
      </c>
      <c r="M18" s="9"/>
      <c r="N18" s="9"/>
      <c r="O18" s="9" t="str">
        <f>IF(Tabla2[[#This Row],[MÉTODO]]="Yamaha","Royalty","")</f>
        <v/>
      </c>
      <c r="P18" s="9"/>
      <c r="Q18" s="9"/>
      <c r="R18" s="113" t="s">
        <v>29</v>
      </c>
      <c r="S18" s="11">
        <v>0.76041666666666663</v>
      </c>
      <c r="T18" s="113" t="s">
        <v>113</v>
      </c>
      <c r="U18" s="113"/>
      <c r="V18" s="113">
        <v>45</v>
      </c>
      <c r="W18" s="142"/>
      <c r="X18" s="12" t="s">
        <v>22</v>
      </c>
      <c r="Y18" s="142">
        <v>4492640431</v>
      </c>
      <c r="Z18" s="142"/>
      <c r="AA18" s="142"/>
      <c r="AB18" s="13"/>
      <c r="AC18" s="13"/>
      <c r="AD18" s="147" t="str">
        <f>IF(YEAR(Tabla2[[#This Row],[FECHA DE NACIMIENTO DEL ALUMNO]])&lt;&gt;1900,YEAR(Tabla2[[#This Row],[FECHA DE NACIMIENTO DEL ALUMNO]]),"")</f>
        <v/>
      </c>
      <c r="AE18" s="14"/>
      <c r="AF18" s="15"/>
      <c r="AG18" s="16"/>
      <c r="AH18" s="235"/>
      <c r="AI18" s="236"/>
      <c r="AJ18" s="19"/>
      <c r="AK18" s="235"/>
      <c r="AL18" s="236">
        <f>IF(Tabla2[[#This Row],[RECIBO ACTUAL]]=0,0,_xlfn.XLOOKUP(CONCATENATE(Tabla2[[#This Row],[CLASE]],Tabla2[[#This Row],[DURACIÓN]]),DevelupeMode!$P$4:$P$10,DevelupeMode!$Q$4:$Q$10,0))</f>
        <v>0</v>
      </c>
      <c r="AM18" s="21"/>
      <c r="AN18" s="22" t="s">
        <v>238</v>
      </c>
      <c r="AO18">
        <f>_xlfn.XLOOKUP(Tabla2[[#This Row],[CURSO]],DevelupeMode!$T$4:$T$11,DevelupeMode!$U$4:$U$11,AO17+1)</f>
        <v>2</v>
      </c>
    </row>
    <row r="19" spans="2:42" ht="15" customHeight="1" x14ac:dyDescent="0.25">
      <c r="B19" s="216"/>
      <c r="C19" s="205">
        <f>IFERROR(IF(Tabla2[[#This Row],[Status]]="",0,IF(LEFT(Tabla2[[#This Row],[Status]],4)="Baja",C18,C18+1)),1)</f>
        <v>1</v>
      </c>
      <c r="D19" s="87" t="s">
        <v>19</v>
      </c>
      <c r="E19" s="87" t="str">
        <f>IF(AND(Tabla2[[#This Row],[RECIBO ACTUAL]]="",Tabla2[[#This Row],[Status]]="Activo"),"paguenmelaren","")</f>
        <v/>
      </c>
      <c r="F19" s="87"/>
      <c r="G19" s="183">
        <v>45528</v>
      </c>
      <c r="H19" s="204" t="str">
        <f>IFERROR(CONCATENATE("AGS015",MID(Tabla2[[#This Row],[ALUMNO]],1,2),MID(Tabla2[[#This Row],[ALUMNO]],FIND(" ",Tabla2[[#This Row],[ALUMNO]],1)+1,2)),"Aguas")</f>
        <v>AGS015AnÁv</v>
      </c>
      <c r="I19" s="7" t="s">
        <v>342</v>
      </c>
      <c r="J19" s="7">
        <f ca="1">IFERROR(YEAR(TODAY())-Tabla2[[#This Row],[año]],"")</f>
        <v>12</v>
      </c>
      <c r="K19" s="44" t="s">
        <v>145</v>
      </c>
      <c r="L19" s="9" t="s">
        <v>57</v>
      </c>
      <c r="M19" s="9"/>
      <c r="N19" s="9" t="s">
        <v>24</v>
      </c>
      <c r="O19" s="9" t="str">
        <f>IF(Tabla2[[#This Row],[MÉTODO]]="Yamaha","Royalty","")</f>
        <v>Royalty</v>
      </c>
      <c r="P19" s="9"/>
      <c r="Q19" s="9"/>
      <c r="R19" s="113" t="s">
        <v>609</v>
      </c>
      <c r="S19" s="11">
        <v>0.66666666666666663</v>
      </c>
      <c r="T19" s="113" t="s">
        <v>113</v>
      </c>
      <c r="U19" s="113"/>
      <c r="V19" s="113">
        <v>30</v>
      </c>
      <c r="W19" s="142"/>
      <c r="X19" s="29" t="s">
        <v>218</v>
      </c>
      <c r="Y19" s="145" t="s">
        <v>219</v>
      </c>
      <c r="Z19" s="145"/>
      <c r="AA19" s="145"/>
      <c r="AB19" s="30"/>
      <c r="AC19" s="6">
        <v>41640</v>
      </c>
      <c r="AD19" s="147">
        <f>IF(YEAR(Tabla2[[#This Row],[FECHA DE NACIMIENTO DEL ALUMNO]])&lt;&gt;1900,YEAR(Tabla2[[#This Row],[FECHA DE NACIMIENTO DEL ALUMNO]]),"")</f>
        <v>2014</v>
      </c>
      <c r="AE19" s="20">
        <v>600</v>
      </c>
      <c r="AF19" s="41"/>
      <c r="AG19" s="153">
        <v>512</v>
      </c>
      <c r="AH19" s="71">
        <v>648</v>
      </c>
      <c r="AI19" s="73"/>
      <c r="AJ19" s="54"/>
      <c r="AK19" s="71">
        <v>673</v>
      </c>
      <c r="AL19" s="236">
        <f>IF(Tabla2[[#This Row],[RECIBO ACTUAL]]=0,0,_xlfn.XLOOKUP(CONCATENATE(Tabla2[[#This Row],[CLASE]],Tabla2[[#This Row],[DURACIÓN]]),DevelupeMode!$P$4:$P$10,DevelupeMode!$Q$4:$Q$10,0))</f>
        <v>1100</v>
      </c>
      <c r="AM19" s="9" t="s">
        <v>554</v>
      </c>
      <c r="AN19" s="22"/>
      <c r="AO19">
        <f>_xlfn.XLOOKUP(Tabla2[[#This Row],[CURSO]],DevelupeMode!$T$4:$T$11,DevelupeMode!$U$4:$U$11,AO18+1)</f>
        <v>10</v>
      </c>
      <c r="AP19" s="81"/>
    </row>
    <row r="20" spans="2:42" ht="15" customHeight="1" x14ac:dyDescent="0.25">
      <c r="B20" s="216"/>
      <c r="C20" s="205">
        <f>IFERROR(IF(Tabla2[[#This Row],[Status]]="",0,IF(LEFT(Tabla2[[#This Row],[Status]],4)="Baja",C19,C19+1)),1)</f>
        <v>2</v>
      </c>
      <c r="D20" s="234" t="s">
        <v>19</v>
      </c>
      <c r="E20" s="88" t="str">
        <f>IF(AND(Tabla2[[#This Row],[RECIBO ACTUAL]]="",Tabla2[[#This Row],[Status]]="Activo"),"paguenmelaren","")</f>
        <v/>
      </c>
      <c r="F20" s="87"/>
      <c r="G20" s="182">
        <v>45985</v>
      </c>
      <c r="H20" s="204" t="str">
        <f>IFERROR(CONCATENATE("AGS015",MID(Tabla2[[#This Row],[ALUMNO]],1,2),MID(Tabla2[[#This Row],[ALUMNO]],FIND(" ",Tabla2[[#This Row],[ALUMNO]],1)+1,2)),"Aguas")</f>
        <v>AGS015SaGa</v>
      </c>
      <c r="I20" s="104" t="s">
        <v>545</v>
      </c>
      <c r="J20" s="104" t="str">
        <f ca="1">IFERROR(YEAR(TODAY())-Tabla2[[#This Row],[año]],"")</f>
        <v/>
      </c>
      <c r="K20" s="44" t="s">
        <v>145</v>
      </c>
      <c r="L20" s="9" t="s">
        <v>57</v>
      </c>
      <c r="M20" s="23"/>
      <c r="N20" s="23"/>
      <c r="O20" s="23" t="str">
        <f>IF(Tabla2[[#This Row],[MÉTODO]]="Yamaha","Royalty","")</f>
        <v/>
      </c>
      <c r="P20" s="23"/>
      <c r="Q20" s="23"/>
      <c r="R20" s="113" t="s">
        <v>609</v>
      </c>
      <c r="S20" s="70">
        <v>0.70833333333333337</v>
      </c>
      <c r="T20" s="113" t="s">
        <v>334</v>
      </c>
      <c r="U20" s="113"/>
      <c r="V20" s="112">
        <v>50</v>
      </c>
      <c r="W20" s="146"/>
      <c r="X20" s="50"/>
      <c r="Y20" s="144"/>
      <c r="Z20" s="144"/>
      <c r="AA20" s="144"/>
      <c r="AB20" s="51"/>
      <c r="AC20" s="52"/>
      <c r="AD20" s="147" t="str">
        <f>IF(YEAR(Tabla2[[#This Row],[FECHA DE NACIMIENTO DEL ALUMNO]])&lt;&gt;1900,YEAR(Tabla2[[#This Row],[FECHA DE NACIMIENTO DEL ALUMNO]]),"")</f>
        <v/>
      </c>
      <c r="AE20" s="67"/>
      <c r="AF20" s="23"/>
      <c r="AG20" s="18"/>
      <c r="AH20" s="71">
        <v>630</v>
      </c>
      <c r="AI20" s="73"/>
      <c r="AJ20" s="23"/>
      <c r="AK20" s="71">
        <v>669</v>
      </c>
      <c r="AL20" s="236">
        <f>IF(Tabla2[[#This Row],[RECIBO ACTUAL]]=0,0,_xlfn.XLOOKUP(CONCATENATE(Tabla2[[#This Row],[CLASE]],Tabla2[[#This Row],[DURACIÓN]]),DevelupeMode!$P$4:$P$10,DevelupeMode!$Q$4:$Q$10,0))</f>
        <v>1100</v>
      </c>
      <c r="AM20" s="32" t="s">
        <v>563</v>
      </c>
      <c r="AN20" s="23"/>
      <c r="AO20">
        <f>_xlfn.XLOOKUP(Tabla2[[#This Row],[CURSO]],DevelupeMode!$T$4:$T$11,DevelupeMode!$U$4:$U$11,AO19+1)</f>
        <v>10</v>
      </c>
      <c r="AP20" s="81"/>
    </row>
    <row r="21" spans="2:42" ht="15" hidden="1" customHeight="1" x14ac:dyDescent="0.25">
      <c r="B21" s="206"/>
      <c r="C21" s="205">
        <f>IFERROR(IF(Tabla2[[#This Row],[Status]]="",0,IF(LEFT(Tabla2[[#This Row],[Status]],4)="Baja",C20,C20+1)),1)</f>
        <v>2</v>
      </c>
      <c r="D21" s="87" t="s">
        <v>148</v>
      </c>
      <c r="E21" s="87" t="str">
        <f>IF(AND(Tabla2[[#This Row],[RECIBO ACTUAL]]="",Tabla2[[#This Row],[Status]]="Activo"),"paguenmelaren","")</f>
        <v/>
      </c>
      <c r="F21" s="87"/>
      <c r="G21" s="182">
        <v>45559</v>
      </c>
      <c r="H21" s="204" t="str">
        <f>IFERROR(CONCATENATE("AGS015",MID(Tabla2[[#This Row],[ALUMNO]],1,2),MID(Tabla2[[#This Row],[ALUMNO]],FIND(" ",Tabla2[[#This Row],[ALUMNO]],1)+1,2)),"Aguas")</f>
        <v>AGS015RoDo</v>
      </c>
      <c r="I21" s="7" t="s">
        <v>368</v>
      </c>
      <c r="J21" s="7">
        <f ca="1">IFERROR(YEAR(TODAY())-Tabla2[[#This Row],[año]],"")</f>
        <v>45</v>
      </c>
      <c r="K21" s="8" t="s">
        <v>20</v>
      </c>
      <c r="L21" s="9" t="s">
        <v>21</v>
      </c>
      <c r="M21" s="9">
        <v>10</v>
      </c>
      <c r="N21" s="24" t="s">
        <v>24</v>
      </c>
      <c r="O21" s="9"/>
      <c r="P21" s="22">
        <v>45752</v>
      </c>
      <c r="Q21" s="9"/>
      <c r="R21" s="113" t="s">
        <v>29</v>
      </c>
      <c r="S21" s="11">
        <v>0.76041666666666663</v>
      </c>
      <c r="T21" s="113" t="s">
        <v>113</v>
      </c>
      <c r="U21" s="113"/>
      <c r="V21" s="113">
        <v>45</v>
      </c>
      <c r="W21" s="142">
        <v>4491952120</v>
      </c>
      <c r="X21" s="50"/>
      <c r="Y21" s="142"/>
      <c r="Z21" s="142"/>
      <c r="AA21" s="142"/>
      <c r="AB21" s="30"/>
      <c r="AC21" s="6">
        <v>29587</v>
      </c>
      <c r="AD21" s="147">
        <f>IF(YEAR(Tabla2[[#This Row],[FECHA DE NACIMIENTO DEL ALUMNO]])&lt;&gt;1900,YEAR(Tabla2[[#This Row],[FECHA DE NACIMIENTO DEL ALUMNO]]),"")</f>
        <v>1981</v>
      </c>
      <c r="AE21" s="95">
        <v>600</v>
      </c>
      <c r="AF21" s="23" t="s">
        <v>107</v>
      </c>
      <c r="AG21" s="155"/>
      <c r="AH21" s="71"/>
      <c r="AI21" s="73"/>
      <c r="AJ21" s="23"/>
      <c r="AK21" s="71"/>
      <c r="AL21" s="236">
        <f>IF(Tabla2[[#This Row],[RECIBO ACTUAL]]=0,0,_xlfn.XLOOKUP(CONCATENATE(Tabla2[[#This Row],[CLASE]],Tabla2[[#This Row],[DURACIÓN]]),DevelupeMode!$P$4:$P$10,DevelupeMode!$Q$4:$Q$10,0))</f>
        <v>0</v>
      </c>
      <c r="AM21" s="9"/>
      <c r="AN21" s="34"/>
      <c r="AO21">
        <f>_xlfn.XLOOKUP(Tabla2[[#This Row],[CURSO]],DevelupeMode!$T$4:$T$11,DevelupeMode!$U$4:$U$11,AO20+1)</f>
        <v>2</v>
      </c>
    </row>
    <row r="22" spans="2:42" ht="15" hidden="1" customHeight="1" x14ac:dyDescent="0.25">
      <c r="B22" s="206"/>
      <c r="C22" s="205">
        <f>IFERROR(IF(Tabla2[[#This Row],[Status]]="",0,IF(LEFT(Tabla2[[#This Row],[Status]],4)="Baja",C21,C21+1)),1)</f>
        <v>2</v>
      </c>
      <c r="D22" s="87" t="s">
        <v>148</v>
      </c>
      <c r="E22" s="87" t="str">
        <f>IF(AND(Tabla2[[#This Row],[RECIBO ACTUAL]]="",Tabla2[[#This Row],[Status]]="Activo"),"paguenmelaren","")</f>
        <v/>
      </c>
      <c r="F22" s="87"/>
      <c r="G22" s="182">
        <v>45497</v>
      </c>
      <c r="H22" s="204" t="str">
        <f>IFERROR(CONCATENATE("AGS015",MID(Tabla2[[#This Row],[ALUMNO]],1,2),MID(Tabla2[[#This Row],[ALUMNO]],FIND(" ",Tabla2[[#This Row],[ALUMNO]],1)+1,2)),"Aguas")</f>
        <v>AGS015JoMa</v>
      </c>
      <c r="I22" s="7" t="s">
        <v>313</v>
      </c>
      <c r="J22" s="7">
        <f ca="1">IFERROR(YEAR(TODAY())-Tabla2[[#This Row],[año]],"")</f>
        <v>10</v>
      </c>
      <c r="K22" s="8" t="s">
        <v>20</v>
      </c>
      <c r="L22" s="9" t="s">
        <v>21</v>
      </c>
      <c r="M22" s="9">
        <v>10</v>
      </c>
      <c r="N22" s="24" t="s">
        <v>24</v>
      </c>
      <c r="O22" s="9"/>
      <c r="P22" s="22">
        <v>45752</v>
      </c>
      <c r="Q22" s="9"/>
      <c r="R22" s="113" t="s">
        <v>32</v>
      </c>
      <c r="S22" s="11">
        <v>0.75</v>
      </c>
      <c r="T22" s="113" t="s">
        <v>334</v>
      </c>
      <c r="U22" s="113"/>
      <c r="V22" s="113">
        <v>60</v>
      </c>
      <c r="W22" s="142">
        <v>4497694182</v>
      </c>
      <c r="X22" s="50" t="s">
        <v>258</v>
      </c>
      <c r="Y22" s="142">
        <v>4497694182</v>
      </c>
      <c r="Z22" s="142"/>
      <c r="AA22" s="142"/>
      <c r="AB22" s="30"/>
      <c r="AC22" s="6">
        <v>42370</v>
      </c>
      <c r="AD22" s="147">
        <f>IF(YEAR(Tabla2[[#This Row],[FECHA DE NACIMIENTO DEL ALUMNO]])&lt;&gt;1900,YEAR(Tabla2[[#This Row],[FECHA DE NACIMIENTO DEL ALUMNO]]),"")</f>
        <v>2016</v>
      </c>
      <c r="AE22" s="95">
        <v>600</v>
      </c>
      <c r="AF22" s="23"/>
      <c r="AG22" s="155">
        <v>600</v>
      </c>
      <c r="AH22" s="71"/>
      <c r="AI22" s="73"/>
      <c r="AJ22" s="23"/>
      <c r="AK22" s="71"/>
      <c r="AL22" s="236">
        <f>IF(Tabla2[[#This Row],[RECIBO ACTUAL]]=0,0,_xlfn.XLOOKUP(CONCATENATE(Tabla2[[#This Row],[CLASE]],Tabla2[[#This Row],[DURACIÓN]]),DevelupeMode!$P$4:$P$10,DevelupeMode!$Q$4:$Q$10,0))</f>
        <v>0</v>
      </c>
      <c r="AM22" s="9"/>
      <c r="AN22" s="34"/>
      <c r="AO22">
        <f>_xlfn.XLOOKUP(Tabla2[[#This Row],[CURSO]],DevelupeMode!$T$4:$T$11,DevelupeMode!$U$4:$U$11,AO21+1)</f>
        <v>2</v>
      </c>
    </row>
    <row r="23" spans="2:42" ht="15" hidden="1" customHeight="1" x14ac:dyDescent="0.25">
      <c r="B23" s="206"/>
      <c r="C23" s="205">
        <f>IFERROR(IF(Tabla2[[#This Row],[Status]]="",0,IF(LEFT(Tabla2[[#This Row],[Status]],4)="Baja",C22,C22+1)),1)</f>
        <v>2</v>
      </c>
      <c r="D23" s="87" t="s">
        <v>148</v>
      </c>
      <c r="E23" s="87" t="str">
        <f>IF(AND(Tabla2[[#This Row],[RECIBO ACTUAL]]="",Tabla2[[#This Row],[Status]]="Activo"),"paguenmelaren","")</f>
        <v/>
      </c>
      <c r="F23" s="87"/>
      <c r="G23" s="182">
        <v>45374</v>
      </c>
      <c r="H23" s="204" t="str">
        <f>IFERROR(CONCATENATE("AGS015",MID(Tabla2[[#This Row],[ALUMNO]],1,2),MID(Tabla2[[#This Row],[ALUMNO]],FIND(" ",Tabla2[[#This Row],[ALUMNO]],1)+1,2)),"Aguas")</f>
        <v>AGS015RaIv</v>
      </c>
      <c r="I23" s="7" t="s">
        <v>198</v>
      </c>
      <c r="J23" s="7">
        <f ca="1">IFERROR(YEAR(TODAY())-Tabla2[[#This Row],[año]],"")</f>
        <v>32</v>
      </c>
      <c r="K23" s="8" t="s">
        <v>20</v>
      </c>
      <c r="L23" s="9" t="s">
        <v>21</v>
      </c>
      <c r="M23" s="9">
        <v>10</v>
      </c>
      <c r="N23" s="24" t="s">
        <v>24</v>
      </c>
      <c r="O23" s="9"/>
      <c r="P23" s="22">
        <v>45752</v>
      </c>
      <c r="Q23" s="9"/>
      <c r="R23" s="113" t="s">
        <v>35</v>
      </c>
      <c r="S23" s="11">
        <v>0.41666666666666669</v>
      </c>
      <c r="T23" s="113" t="s">
        <v>113</v>
      </c>
      <c r="U23" s="113"/>
      <c r="V23" s="113">
        <v>45</v>
      </c>
      <c r="W23" s="142">
        <v>4491521209</v>
      </c>
      <c r="X23" s="28" t="s">
        <v>22</v>
      </c>
      <c r="Y23" s="142"/>
      <c r="Z23" s="142"/>
      <c r="AA23" s="142"/>
      <c r="AB23" s="30" t="s">
        <v>40</v>
      </c>
      <c r="AC23" s="6">
        <v>34508</v>
      </c>
      <c r="AD23" s="147">
        <f>IF(YEAR(Tabla2[[#This Row],[FECHA DE NACIMIENTO DEL ALUMNO]])&lt;&gt;1900,YEAR(Tabla2[[#This Row],[FECHA DE NACIMIENTO DEL ALUMNO]]),"")</f>
        <v>1994</v>
      </c>
      <c r="AE23" s="18"/>
      <c r="AF23" s="23"/>
      <c r="AG23" s="154"/>
      <c r="AH23" s="71"/>
      <c r="AI23" s="73"/>
      <c r="AJ23" s="23"/>
      <c r="AK23" s="71"/>
      <c r="AL23" s="236">
        <f>IF(Tabla2[[#This Row],[RECIBO ACTUAL]]=0,0,_xlfn.XLOOKUP(CONCATENATE(Tabla2[[#This Row],[CLASE]],Tabla2[[#This Row],[DURACIÓN]]),DevelupeMode!$P$4:$P$10,DevelupeMode!$Q$4:$Q$10,0))</f>
        <v>0</v>
      </c>
      <c r="AM23" s="9"/>
      <c r="AN23" s="34"/>
      <c r="AO23">
        <f>_xlfn.XLOOKUP(Tabla2[[#This Row],[CURSO]],DevelupeMode!$T$4:$T$11,DevelupeMode!$U$4:$U$11,AO22+1)</f>
        <v>2</v>
      </c>
    </row>
    <row r="24" spans="2:42" ht="15" hidden="1" customHeight="1" x14ac:dyDescent="0.25">
      <c r="B24" s="206"/>
      <c r="C24" s="205">
        <f>IFERROR(IF(Tabla2[[#This Row],[Status]]="",0,IF(LEFT(Tabla2[[#This Row],[Status]],4)="Baja",C23,C23+1)),1)</f>
        <v>2</v>
      </c>
      <c r="D24" s="87" t="s">
        <v>376</v>
      </c>
      <c r="E24" s="87" t="str">
        <f>IF(AND(Tabla2[[#This Row],[RECIBO ACTUAL]]="",Tabla2[[#This Row],[Status]]="Activo"),"paguenmelaren","")</f>
        <v/>
      </c>
      <c r="F24" s="87"/>
      <c r="G24" s="182">
        <v>45467</v>
      </c>
      <c r="H24" s="204" t="str">
        <f>IFERROR(CONCATENATE("AGS015",MID(Tabla2[[#This Row],[ALUMNO]],1,2),MID(Tabla2[[#This Row],[ALUMNO]],FIND(" ",Tabla2[[#This Row],[ALUMNO]],1)+1,2)),"Aguas")</f>
        <v>AGS015DaAn</v>
      </c>
      <c r="I24" s="7" t="s">
        <v>157</v>
      </c>
      <c r="J24" s="7">
        <f ca="1">IFERROR(YEAR(TODAY())-Tabla2[[#This Row],[año]],"")</f>
        <v>17</v>
      </c>
      <c r="K24" s="8" t="s">
        <v>20</v>
      </c>
      <c r="L24" s="9" t="s">
        <v>21</v>
      </c>
      <c r="M24" s="9">
        <v>9</v>
      </c>
      <c r="N24" s="24" t="s">
        <v>24</v>
      </c>
      <c r="O24" s="9" t="str">
        <f>IF(Tabla2[[#This Row],[MÉTODO]]="Yamaha","Royalty","")</f>
        <v>Royalty</v>
      </c>
      <c r="P24" s="9"/>
      <c r="Q24" s="9"/>
      <c r="R24" s="113" t="s">
        <v>29</v>
      </c>
      <c r="S24" s="11">
        <v>0.79166666666666663</v>
      </c>
      <c r="T24" s="113" t="s">
        <v>25</v>
      </c>
      <c r="U24" s="113"/>
      <c r="V24" s="113">
        <v>50</v>
      </c>
      <c r="W24" s="12" t="s">
        <v>26</v>
      </c>
      <c r="X24" s="12" t="s">
        <v>27</v>
      </c>
      <c r="Y24" s="12"/>
      <c r="Z24" s="12"/>
      <c r="AA24" s="12"/>
      <c r="AB24" s="13" t="s">
        <v>28</v>
      </c>
      <c r="AC24" s="25">
        <v>39829</v>
      </c>
      <c r="AD24" s="147">
        <f>IF(YEAR(Tabla2[[#This Row],[FECHA DE NACIMIENTO DEL ALUMNO]])&lt;&gt;1900,YEAR(Tabla2[[#This Row],[FECHA DE NACIMIENTO DEL ALUMNO]]),"")</f>
        <v>2009</v>
      </c>
      <c r="AE24" s="14"/>
      <c r="AF24" s="15"/>
      <c r="AG24" s="16"/>
      <c r="AH24" s="17"/>
      <c r="AI24" s="20"/>
      <c r="AJ24" s="19"/>
      <c r="AK24" s="17"/>
      <c r="AL24" s="236">
        <f>IF(Tabla2[[#This Row],[RECIBO ACTUAL]]=0,0,_xlfn.XLOOKUP(CONCATENATE(Tabla2[[#This Row],[CLASE]],Tabla2[[#This Row],[DURACIÓN]]),DevelupeMode!$P$4:$P$10,DevelupeMode!$Q$4:$Q$10,0))</f>
        <v>0</v>
      </c>
      <c r="AM24" s="21"/>
      <c r="AN24" s="22"/>
      <c r="AO24">
        <f>_xlfn.XLOOKUP(Tabla2[[#This Row],[CURSO]],DevelupeMode!$T$4:$T$11,DevelupeMode!$U$4:$U$11,AO23+1)</f>
        <v>2</v>
      </c>
    </row>
    <row r="25" spans="2:42" ht="15" hidden="1" customHeight="1" x14ac:dyDescent="0.25">
      <c r="B25" s="206"/>
      <c r="C25" s="205">
        <f>IFERROR(IF(Tabla2[[#This Row],[Status]]="",0,IF(LEFT(Tabla2[[#This Row],[Status]],4)="Baja",C24,C24+1)),1)</f>
        <v>2</v>
      </c>
      <c r="D25" s="87" t="s">
        <v>148</v>
      </c>
      <c r="E25" s="87" t="str">
        <f>IF(AND(Tabla2[[#This Row],[RECIBO ACTUAL]]="",Tabla2[[#This Row],[Status]]="Activo"),"paguenmelaren","")</f>
        <v/>
      </c>
      <c r="F25" s="87"/>
      <c r="G25" s="182">
        <v>45497</v>
      </c>
      <c r="H25" s="204" t="str">
        <f>IFERROR(CONCATENATE("AGS015",MID(Tabla2[[#This Row],[ALUMNO]],1,2),MID(Tabla2[[#This Row],[ALUMNO]],FIND(" ",Tabla2[[#This Row],[ALUMNO]],1)+1,2)),"Aguas")</f>
        <v>AGS015JoMa</v>
      </c>
      <c r="I25" s="7" t="s">
        <v>314</v>
      </c>
      <c r="J25" s="7">
        <f ca="1">IFERROR(YEAR(TODAY())-Tabla2[[#This Row],[año]],"")</f>
        <v>32</v>
      </c>
      <c r="K25" s="8" t="s">
        <v>20</v>
      </c>
      <c r="L25" s="9" t="s">
        <v>21</v>
      </c>
      <c r="M25" s="9">
        <v>10</v>
      </c>
      <c r="N25" s="24" t="s">
        <v>24</v>
      </c>
      <c r="O25" s="9"/>
      <c r="P25" s="22">
        <v>45752</v>
      </c>
      <c r="Q25" s="9"/>
      <c r="R25" s="113" t="s">
        <v>32</v>
      </c>
      <c r="S25" s="11">
        <v>0.75</v>
      </c>
      <c r="T25" s="113" t="s">
        <v>334</v>
      </c>
      <c r="U25" s="113"/>
      <c r="V25" s="113">
        <v>60</v>
      </c>
      <c r="W25" s="142">
        <v>4497694182</v>
      </c>
      <c r="X25" s="50" t="s">
        <v>258</v>
      </c>
      <c r="Y25" s="142">
        <v>4497694182</v>
      </c>
      <c r="Z25" s="142"/>
      <c r="AA25" s="142"/>
      <c r="AB25" s="30"/>
      <c r="AC25" s="6">
        <v>34335</v>
      </c>
      <c r="AD25" s="147">
        <f>IF(YEAR(Tabla2[[#This Row],[FECHA DE NACIMIENTO DEL ALUMNO]])&lt;&gt;1900,YEAR(Tabla2[[#This Row],[FECHA DE NACIMIENTO DEL ALUMNO]]),"")</f>
        <v>1994</v>
      </c>
      <c r="AE25" s="95">
        <v>600</v>
      </c>
      <c r="AF25" s="23" t="s">
        <v>107</v>
      </c>
      <c r="AG25" s="155"/>
      <c r="AH25" s="71"/>
      <c r="AI25" s="73"/>
      <c r="AJ25" s="23"/>
      <c r="AK25" s="71"/>
      <c r="AL25" s="236">
        <f>IF(Tabla2[[#This Row],[RECIBO ACTUAL]]=0,0,_xlfn.XLOOKUP(CONCATENATE(Tabla2[[#This Row],[CLASE]],Tabla2[[#This Row],[DURACIÓN]]),DevelupeMode!$P$4:$P$10,DevelupeMode!$Q$4:$Q$10,0))</f>
        <v>0</v>
      </c>
      <c r="AM25" s="9"/>
      <c r="AN25" s="34"/>
      <c r="AO25">
        <f>_xlfn.XLOOKUP(Tabla2[[#This Row],[CURSO]],DevelupeMode!$T$4:$T$11,DevelupeMode!$U$4:$U$11,AO24+1)</f>
        <v>2</v>
      </c>
    </row>
    <row r="26" spans="2:42" ht="15" hidden="1" customHeight="1" x14ac:dyDescent="0.25">
      <c r="B26" s="206"/>
      <c r="C26" s="205">
        <f>IFERROR(IF(Tabla2[[#This Row],[Status]]="",0,IF(LEFT(Tabla2[[#This Row],[Status]],4)="Baja",C25,C25+1)),1)</f>
        <v>2</v>
      </c>
      <c r="D26" s="87" t="s">
        <v>148</v>
      </c>
      <c r="E26" s="87" t="str">
        <f>IF(AND(Tabla2[[#This Row],[RECIBO ACTUAL]]="",Tabla2[[#This Row],[Status]]="Activo"),"paguenmelaren","")</f>
        <v/>
      </c>
      <c r="F26" s="87"/>
      <c r="G26" s="182">
        <v>45559</v>
      </c>
      <c r="H26" s="204" t="str">
        <f>IFERROR(CONCATENATE("AGS015",MID(Tabla2[[#This Row],[ALUMNO]],1,2),MID(Tabla2[[#This Row],[ALUMNO]],FIND(" ",Tabla2[[#This Row],[ALUMNO]],1)+1,2)),"Aguas")</f>
        <v>AGS015AbMi</v>
      </c>
      <c r="I26" s="7" t="s">
        <v>377</v>
      </c>
      <c r="J26" s="7">
        <f ca="1">IFERROR(YEAR(TODAY())-Tabla2[[#This Row],[año]],"")</f>
        <v>29</v>
      </c>
      <c r="K26" s="8" t="s">
        <v>20</v>
      </c>
      <c r="L26" s="9" t="s">
        <v>21</v>
      </c>
      <c r="M26" s="9">
        <v>10</v>
      </c>
      <c r="N26" s="24" t="s">
        <v>24</v>
      </c>
      <c r="O26" s="9"/>
      <c r="P26" s="22">
        <v>45752</v>
      </c>
      <c r="Q26" s="9"/>
      <c r="R26" s="113" t="s">
        <v>35</v>
      </c>
      <c r="S26" s="11">
        <v>0.44791666666666669</v>
      </c>
      <c r="T26" s="113" t="s">
        <v>113</v>
      </c>
      <c r="U26" s="113"/>
      <c r="V26" s="113">
        <v>45</v>
      </c>
      <c r="W26" s="142">
        <v>4494338133</v>
      </c>
      <c r="X26" s="50"/>
      <c r="Y26" s="142"/>
      <c r="Z26" s="142"/>
      <c r="AA26" s="142"/>
      <c r="AB26" s="30"/>
      <c r="AC26" s="6">
        <v>35431</v>
      </c>
      <c r="AD26" s="147">
        <f>IF(YEAR(Tabla2[[#This Row],[FECHA DE NACIMIENTO DEL ALUMNO]])&lt;&gt;1900,YEAR(Tabla2[[#This Row],[FECHA DE NACIMIENTO DEL ALUMNO]]),"")</f>
        <v>1997</v>
      </c>
      <c r="AE26" s="95">
        <v>600</v>
      </c>
      <c r="AF26" s="23"/>
      <c r="AG26" s="155"/>
      <c r="AH26" s="17"/>
      <c r="AI26" s="18"/>
      <c r="AJ26" s="23"/>
      <c r="AK26" s="17"/>
      <c r="AL26" s="236">
        <f>IF(Tabla2[[#This Row],[RECIBO ACTUAL]]=0,0,_xlfn.XLOOKUP(CONCATENATE(Tabla2[[#This Row],[CLASE]],Tabla2[[#This Row],[DURACIÓN]]),DevelupeMode!$P$4:$P$10,DevelupeMode!$Q$4:$Q$10,0))</f>
        <v>0</v>
      </c>
      <c r="AM26" s="9"/>
      <c r="AN26" s="34"/>
      <c r="AO26">
        <f>_xlfn.XLOOKUP(Tabla2[[#This Row],[CURSO]],DevelupeMode!$T$4:$T$11,DevelupeMode!$U$4:$U$11,AO25+1)</f>
        <v>2</v>
      </c>
    </row>
    <row r="27" spans="2:42" ht="15" hidden="1" customHeight="1" x14ac:dyDescent="0.25">
      <c r="B27" s="206"/>
      <c r="C27" s="205">
        <f>IFERROR(IF(Tabla2[[#This Row],[Status]]="",0,IF(LEFT(Tabla2[[#This Row],[Status]],4)="Baja",C26,C26+1)),1)</f>
        <v>2</v>
      </c>
      <c r="D27" s="87" t="s">
        <v>148</v>
      </c>
      <c r="E27" s="87" t="str">
        <f>IF(AND(Tabla2[[#This Row],[RECIBO ACTUAL]]="",Tabla2[[#This Row],[Status]]="Activo"),"paguenmelaren","")</f>
        <v/>
      </c>
      <c r="F27" s="87"/>
      <c r="G27" s="183">
        <v>45528</v>
      </c>
      <c r="H27" s="204" t="str">
        <f>IFERROR(CONCATENATE("AGS015",MID(Tabla2[[#This Row],[ALUMNO]],1,2),MID(Tabla2[[#This Row],[ALUMNO]],FIND(" ",Tabla2[[#This Row],[ALUMNO]],1)+1,2)),"Aguas")</f>
        <v>AGS015OsAl</v>
      </c>
      <c r="I27" s="7" t="s">
        <v>362</v>
      </c>
      <c r="J27" s="7">
        <f ca="1">IFERROR(YEAR(TODAY())-Tabla2[[#This Row],[año]],"")</f>
        <v>13</v>
      </c>
      <c r="K27" s="8" t="s">
        <v>20</v>
      </c>
      <c r="L27" s="9" t="s">
        <v>21</v>
      </c>
      <c r="M27" s="9">
        <v>10</v>
      </c>
      <c r="N27" s="24" t="s">
        <v>24</v>
      </c>
      <c r="O27" s="9"/>
      <c r="P27" s="9"/>
      <c r="Q27" s="9"/>
      <c r="R27" s="113" t="s">
        <v>29</v>
      </c>
      <c r="S27" s="11">
        <v>0.79166666666666663</v>
      </c>
      <c r="T27" s="113" t="s">
        <v>334</v>
      </c>
      <c r="U27" s="113"/>
      <c r="V27" s="113">
        <v>50</v>
      </c>
      <c r="W27" s="142">
        <v>4492116583</v>
      </c>
      <c r="X27" s="50" t="s">
        <v>363</v>
      </c>
      <c r="Y27" s="142" t="s">
        <v>364</v>
      </c>
      <c r="Z27" s="142" t="s">
        <v>365</v>
      </c>
      <c r="AA27" s="142" t="s">
        <v>366</v>
      </c>
      <c r="AB27" s="30"/>
      <c r="AC27" s="6">
        <v>41275</v>
      </c>
      <c r="AD27" s="147">
        <f>IF(YEAR(Tabla2[[#This Row],[FECHA DE NACIMIENTO DEL ALUMNO]])&lt;&gt;1900,YEAR(Tabla2[[#This Row],[FECHA DE NACIMIENTO DEL ALUMNO]]),"")</f>
        <v>2013</v>
      </c>
      <c r="AE27" s="95">
        <v>600</v>
      </c>
      <c r="AF27" s="23"/>
      <c r="AG27" s="155"/>
      <c r="AH27" s="71"/>
      <c r="AI27" s="18"/>
      <c r="AJ27" s="23"/>
      <c r="AK27" s="71"/>
      <c r="AL27" s="236">
        <f>IF(Tabla2[[#This Row],[RECIBO ACTUAL]]=0,0,_xlfn.XLOOKUP(CONCATENATE(Tabla2[[#This Row],[CLASE]],Tabla2[[#This Row],[DURACIÓN]]),DevelupeMode!$P$4:$P$10,DevelupeMode!$Q$4:$Q$10,0))</f>
        <v>0</v>
      </c>
      <c r="AM27" s="9"/>
      <c r="AN27" s="34"/>
      <c r="AO27">
        <f>_xlfn.XLOOKUP(Tabla2[[#This Row],[CURSO]],DevelupeMode!$T$4:$T$11,DevelupeMode!$U$4:$U$11,AO26+1)</f>
        <v>2</v>
      </c>
    </row>
    <row r="28" spans="2:42" ht="15" hidden="1" customHeight="1" x14ac:dyDescent="0.25">
      <c r="B28" s="206"/>
      <c r="C28" s="205">
        <f>IFERROR(IF(Tabla2[[#This Row],[Status]]="",0,IF(LEFT(Tabla2[[#This Row],[Status]],4)="Baja",C27,C27+1)),1)</f>
        <v>2</v>
      </c>
      <c r="D28" s="87" t="s">
        <v>148</v>
      </c>
      <c r="E28" s="88" t="str">
        <f>IF(AND(Tabla2[[#This Row],[RECIBO ACTUAL]]="",Tabla2[[#This Row],[Status]]="Activo"),"paguenmelaren","")</f>
        <v/>
      </c>
      <c r="F28" s="87"/>
      <c r="G28" s="182">
        <v>45752</v>
      </c>
      <c r="H28" s="204" t="str">
        <f>IFERROR(CONCATENATE("AGS015",MID(Tabla2[[#This Row],[ALUMNO]],1,2),MID(Tabla2[[#This Row],[ALUMNO]],FIND(" ",Tabla2[[#This Row],[ALUMNO]],1)+1,2)),"Aguas")</f>
        <v>AGS015MaMa</v>
      </c>
      <c r="I28" s="7" t="s">
        <v>488</v>
      </c>
      <c r="J28" s="104">
        <f ca="1">IFERROR(YEAR(TODAY())-Tabla2[[#This Row],[año]],"")</f>
        <v>9</v>
      </c>
      <c r="K28" s="8" t="s">
        <v>20</v>
      </c>
      <c r="L28" s="9" t="s">
        <v>21</v>
      </c>
      <c r="M28" s="9">
        <v>10</v>
      </c>
      <c r="N28" s="24" t="s">
        <v>24</v>
      </c>
      <c r="O28" s="9" t="str">
        <f>IF(Tabla2[[#This Row],[MÉTODO]]="Yamaha","Royalty","")</f>
        <v>Royalty</v>
      </c>
      <c r="P28" s="9"/>
      <c r="Q28" s="9"/>
      <c r="R28" s="112" t="s">
        <v>32</v>
      </c>
      <c r="S28" s="11">
        <v>0.79166666666666663</v>
      </c>
      <c r="T28" s="113" t="s">
        <v>334</v>
      </c>
      <c r="U28" s="113"/>
      <c r="V28" s="112">
        <v>50</v>
      </c>
      <c r="W28" s="142">
        <v>4491913248</v>
      </c>
      <c r="X28" s="50" t="s">
        <v>489</v>
      </c>
      <c r="Y28" s="142" t="s">
        <v>490</v>
      </c>
      <c r="Z28" s="142"/>
      <c r="AA28" s="142"/>
      <c r="AB28" s="51"/>
      <c r="AC28" s="52">
        <v>42736</v>
      </c>
      <c r="AD28" s="209">
        <f>IF(YEAR(Tabla2[[#This Row],[FECHA DE NACIMIENTO DEL ALUMNO]])&lt;&gt;1900,YEAR(Tabla2[[#This Row],[FECHA DE NACIMIENTO DEL ALUMNO]]),"")</f>
        <v>2017</v>
      </c>
      <c r="AE28" s="95"/>
      <c r="AF28" s="23"/>
      <c r="AG28" s="18"/>
      <c r="AH28" s="71"/>
      <c r="AI28" s="73"/>
      <c r="AJ28" s="23"/>
      <c r="AK28" s="71"/>
      <c r="AL28" s="236">
        <f>IF(Tabla2[[#This Row],[RECIBO ACTUAL]]=0,0,_xlfn.XLOOKUP(CONCATENATE(Tabla2[[#This Row],[CLASE]],Tabla2[[#This Row],[DURACIÓN]]),DevelupeMode!$P$4:$P$10,DevelupeMode!$Q$4:$Q$10,0))</f>
        <v>0</v>
      </c>
      <c r="AM28" s="32"/>
      <c r="AN28" s="34"/>
      <c r="AO28">
        <f>_xlfn.XLOOKUP(Tabla2[[#This Row],[CURSO]],DevelupeMode!$T$4:$T$11,DevelupeMode!$U$4:$U$11,AO27+1)</f>
        <v>2</v>
      </c>
    </row>
    <row r="29" spans="2:42" ht="15" hidden="1" customHeight="1" x14ac:dyDescent="0.25">
      <c r="B29" s="206"/>
      <c r="C29" s="205">
        <f>IFERROR(IF(Tabla2[[#This Row],[Status]]="",0,IF(LEFT(Tabla2[[#This Row],[Status]],4)="Baja",C28,C28+1)),1)</f>
        <v>2</v>
      </c>
      <c r="D29" s="87" t="s">
        <v>148</v>
      </c>
      <c r="E29" s="87" t="str">
        <f>IF(AND(Tabla2[[#This Row],[RECIBO ACTUAL]]="",Tabla2[[#This Row],[Status]]="Activo"),"paguenmelaren","")</f>
        <v/>
      </c>
      <c r="F29" s="87"/>
      <c r="G29" s="182">
        <v>45559</v>
      </c>
      <c r="H29" s="204" t="str">
        <f>IFERROR(CONCATENATE("AGS015",MID(Tabla2[[#This Row],[ALUMNO]],1,2),MID(Tabla2[[#This Row],[ALUMNO]],FIND(" ",Tabla2[[#This Row],[ALUMNO]],1)+1,2)),"Aguas")</f>
        <v>AGS015LuFe</v>
      </c>
      <c r="I29" s="7" t="s">
        <v>197</v>
      </c>
      <c r="J29" s="7">
        <f ca="1">IFERROR(YEAR(TODAY())-Tabla2[[#This Row],[año]],"")</f>
        <v>20</v>
      </c>
      <c r="K29" s="8" t="s">
        <v>20</v>
      </c>
      <c r="L29" s="9" t="s">
        <v>21</v>
      </c>
      <c r="M29" s="9">
        <v>8</v>
      </c>
      <c r="N29" s="24" t="s">
        <v>24</v>
      </c>
      <c r="O29" s="9"/>
      <c r="P29" s="22">
        <v>45752</v>
      </c>
      <c r="Q29" s="9"/>
      <c r="R29" s="113" t="s">
        <v>35</v>
      </c>
      <c r="S29" s="11">
        <v>0.47916666666666669</v>
      </c>
      <c r="T29" s="113" t="s">
        <v>113</v>
      </c>
      <c r="U29" s="113"/>
      <c r="V29" s="113">
        <v>45</v>
      </c>
      <c r="W29" s="142">
        <v>4491819889</v>
      </c>
      <c r="X29" s="12" t="s">
        <v>36</v>
      </c>
      <c r="Y29" s="142"/>
      <c r="Z29" s="142"/>
      <c r="AA29" s="142"/>
      <c r="AB29" s="13"/>
      <c r="AC29" s="25">
        <v>38718</v>
      </c>
      <c r="AD29" s="147">
        <f>IF(YEAR(Tabla2[[#This Row],[FECHA DE NACIMIENTO DEL ALUMNO]])&lt;&gt;1900,YEAR(Tabla2[[#This Row],[FECHA DE NACIMIENTO DEL ALUMNO]]),"")</f>
        <v>2006</v>
      </c>
      <c r="AE29" s="14"/>
      <c r="AF29" s="15"/>
      <c r="AG29" s="152"/>
      <c r="AH29" s="71"/>
      <c r="AI29" s="73"/>
      <c r="AJ29" s="63"/>
      <c r="AK29" s="71"/>
      <c r="AL29" s="236">
        <f>IF(Tabla2[[#This Row],[RECIBO ACTUAL]]=0,0,_xlfn.XLOOKUP(CONCATENATE(Tabla2[[#This Row],[CLASE]],Tabla2[[#This Row],[DURACIÓN]]),DevelupeMode!$P$4:$P$10,DevelupeMode!$Q$4:$Q$10,0))</f>
        <v>0</v>
      </c>
      <c r="AM29" s="22"/>
      <c r="AN29" s="22"/>
      <c r="AO29">
        <f>_xlfn.XLOOKUP(Tabla2[[#This Row],[CURSO]],DevelupeMode!$T$4:$T$11,DevelupeMode!$U$4:$U$11,AO28+1)</f>
        <v>2</v>
      </c>
    </row>
    <row r="30" spans="2:42" ht="15" hidden="1" customHeight="1" x14ac:dyDescent="0.25">
      <c r="B30" s="206"/>
      <c r="C30" s="205">
        <f>IFERROR(IF(Tabla2[[#This Row],[Status]]="",0,IF(LEFT(Tabla2[[#This Row],[Status]],4)="Baja",C29,C29+1)),1)</f>
        <v>2</v>
      </c>
      <c r="D30" s="87" t="s">
        <v>148</v>
      </c>
      <c r="E30" s="87" t="str">
        <f>IF(AND(Tabla2[[#This Row],[RECIBO ACTUAL]]="",Tabla2[[#This Row],[Status]]="Activo"),"paguenmelaren","")</f>
        <v/>
      </c>
      <c r="F30" s="87"/>
      <c r="G30" s="183">
        <v>45528</v>
      </c>
      <c r="H30" s="204" t="str">
        <f>IFERROR(CONCATENATE("AGS015",MID(Tabla2[[#This Row],[ALUMNO]],1,2),MID(Tabla2[[#This Row],[ALUMNO]],FIND(" ",Tabla2[[#This Row],[ALUMNO]],1)+1,2)),"Aguas")</f>
        <v>AGS015SaCa</v>
      </c>
      <c r="I30" s="7" t="s">
        <v>275</v>
      </c>
      <c r="J30" s="7">
        <f ca="1">IFERROR(YEAR(TODAY())-Tabla2[[#This Row],[año]],"")</f>
        <v>13</v>
      </c>
      <c r="K30" s="8" t="s">
        <v>20</v>
      </c>
      <c r="L30" s="9" t="s">
        <v>21</v>
      </c>
      <c r="M30" s="9">
        <v>10</v>
      </c>
      <c r="N30" s="24" t="s">
        <v>24</v>
      </c>
      <c r="O30" s="9" t="str">
        <f>IF(Tabla2[[#This Row],[MÉTODO]]="Yamaha","Royalty","")</f>
        <v>Royalty</v>
      </c>
      <c r="P30" s="9"/>
      <c r="Q30" s="9"/>
      <c r="R30" s="113" t="s">
        <v>29</v>
      </c>
      <c r="S30" s="11">
        <v>0.79166666666666663</v>
      </c>
      <c r="T30" s="113" t="s">
        <v>334</v>
      </c>
      <c r="U30" s="113"/>
      <c r="V30" s="113">
        <v>50</v>
      </c>
      <c r="W30" s="142"/>
      <c r="X30" s="50"/>
      <c r="Y30" s="12" t="s">
        <v>274</v>
      </c>
      <c r="Z30" s="142"/>
      <c r="AA30" s="142"/>
      <c r="AB30" s="30"/>
      <c r="AC30" s="6">
        <v>41275</v>
      </c>
      <c r="AD30" s="147">
        <f>IF(YEAR(Tabla2[[#This Row],[FECHA DE NACIMIENTO DEL ALUMNO]])&lt;&gt;1900,YEAR(Tabla2[[#This Row],[FECHA DE NACIMIENTO DEL ALUMNO]]),"")</f>
        <v>2013</v>
      </c>
      <c r="AE30" s="95">
        <v>600</v>
      </c>
      <c r="AF30" s="23"/>
      <c r="AG30" s="18"/>
      <c r="AH30" s="17"/>
      <c r="AI30" s="18"/>
      <c r="AJ30" s="23"/>
      <c r="AK30" s="17"/>
      <c r="AL30" s="236">
        <f>IF(Tabla2[[#This Row],[RECIBO ACTUAL]]=0,0,_xlfn.XLOOKUP(CONCATENATE(Tabla2[[#This Row],[CLASE]],Tabla2[[#This Row],[DURACIÓN]]),DevelupeMode!$P$4:$P$10,DevelupeMode!$Q$4:$Q$10,0))</f>
        <v>0</v>
      </c>
      <c r="AM30" s="23"/>
      <c r="AN30" s="34"/>
      <c r="AO30">
        <f>_xlfn.XLOOKUP(Tabla2[[#This Row],[CURSO]],DevelupeMode!$T$4:$T$11,DevelupeMode!$U$4:$U$11,AO29+1)</f>
        <v>2</v>
      </c>
    </row>
    <row r="31" spans="2:42" ht="15" hidden="1" customHeight="1" x14ac:dyDescent="0.25">
      <c r="B31" s="206"/>
      <c r="C31" s="205">
        <f>IFERROR(IF(Tabla2[[#This Row],[Status]]="",0,IF(LEFT(Tabla2[[#This Row],[Status]],4)="Baja",C30,C30+1)),1)</f>
        <v>2</v>
      </c>
      <c r="D31" s="87" t="s">
        <v>148</v>
      </c>
      <c r="E31" s="87" t="str">
        <f>IF(AND(Tabla2[[#This Row],[RECIBO ACTUAL]]="",Tabla2[[#This Row],[Status]]="Activo"),"paguenmelaren","")</f>
        <v/>
      </c>
      <c r="F31" s="87"/>
      <c r="G31" s="182">
        <v>45318</v>
      </c>
      <c r="H31" s="204" t="str">
        <f>IFERROR(CONCATENATE("AGS015",MID(Tabla2[[#This Row],[ALUMNO]],1,2),MID(Tabla2[[#This Row],[ALUMNO]],FIND(" ",Tabla2[[#This Row],[ALUMNO]],1)+1,2)),"Aguas")</f>
        <v>AGS015CaSa</v>
      </c>
      <c r="I31" s="7" t="s">
        <v>164</v>
      </c>
      <c r="J31" s="7">
        <f ca="1">IFERROR(YEAR(TODAY())-Tabla2[[#This Row],[año]],"")</f>
        <v>16</v>
      </c>
      <c r="K31" s="8" t="s">
        <v>20</v>
      </c>
      <c r="L31" s="9" t="s">
        <v>21</v>
      </c>
      <c r="M31" s="9">
        <v>8</v>
      </c>
      <c r="N31" s="24" t="s">
        <v>24</v>
      </c>
      <c r="O31" s="9"/>
      <c r="P31" s="9"/>
      <c r="Q31" s="9"/>
      <c r="R31" s="113" t="s">
        <v>35</v>
      </c>
      <c r="S31" s="11">
        <v>0.45833333333333331</v>
      </c>
      <c r="T31" s="113" t="s">
        <v>334</v>
      </c>
      <c r="U31" s="113"/>
      <c r="V31" s="113">
        <v>50</v>
      </c>
      <c r="W31" s="142">
        <v>4492659682</v>
      </c>
      <c r="X31" s="29" t="s">
        <v>319</v>
      </c>
      <c r="Y31" s="145">
        <v>4492674707</v>
      </c>
      <c r="Z31" s="145" t="s">
        <v>320</v>
      </c>
      <c r="AA31" s="145">
        <v>4492714196</v>
      </c>
      <c r="AB31" s="30" t="s">
        <v>37</v>
      </c>
      <c r="AC31" s="6">
        <v>40348</v>
      </c>
      <c r="AD31" s="147">
        <f>IF(YEAR(Tabla2[[#This Row],[FECHA DE NACIMIENTO DEL ALUMNO]])&lt;&gt;1900,YEAR(Tabla2[[#This Row],[FECHA DE NACIMIENTO DEL ALUMNO]]),"")</f>
        <v>2010</v>
      </c>
      <c r="AE31" s="26"/>
      <c r="AF31" s="9"/>
      <c r="AG31" s="153"/>
      <c r="AH31" s="17"/>
      <c r="AI31" s="20"/>
      <c r="AJ31" s="9"/>
      <c r="AK31" s="17"/>
      <c r="AL31" s="236">
        <f>IF(Tabla2[[#This Row],[RECIBO ACTUAL]]=0,0,_xlfn.XLOOKUP(CONCATENATE(Tabla2[[#This Row],[CLASE]],Tabla2[[#This Row],[DURACIÓN]]),DevelupeMode!$P$4:$P$10,DevelupeMode!$Q$4:$Q$10,0))</f>
        <v>0</v>
      </c>
      <c r="AM31" s="9"/>
      <c r="AN31" s="22"/>
      <c r="AO31">
        <f>_xlfn.XLOOKUP(Tabla2[[#This Row],[CURSO]],DevelupeMode!$T$4:$T$11,DevelupeMode!$U$4:$U$11,AO30+1)</f>
        <v>2</v>
      </c>
    </row>
    <row r="32" spans="2:42" ht="15" hidden="1" customHeight="1" x14ac:dyDescent="0.25">
      <c r="B32" s="206"/>
      <c r="C32" s="205">
        <f>IFERROR(IF(Tabla2[[#This Row],[Status]]="",0,IF(LEFT(Tabla2[[#This Row],[Status]],4)="Baja",C31,C31+1)),1)</f>
        <v>2</v>
      </c>
      <c r="D32" s="87" t="s">
        <v>148</v>
      </c>
      <c r="E32" s="87" t="str">
        <f>IF(AND(Tabla2[[#This Row],[RECIBO ACTUAL]]="",Tabla2[[#This Row],[Status]]="Activo"),"paguenmelaren","")</f>
        <v/>
      </c>
      <c r="F32" s="87"/>
      <c r="G32" s="182">
        <v>45674</v>
      </c>
      <c r="H32" s="204" t="str">
        <f>IFERROR(CONCATENATE("AGS015",MID(Tabla2[[#This Row],[ALUMNO]],1,2),MID(Tabla2[[#This Row],[ALUMNO]],FIND(" ",Tabla2[[#This Row],[ALUMNO]],1)+1,2)),"Aguas")</f>
        <v>AGS015PaMa</v>
      </c>
      <c r="I32" s="7" t="s">
        <v>438</v>
      </c>
      <c r="J32" s="7">
        <f ca="1">IFERROR(YEAR(TODAY())-Tabla2[[#This Row],[año]],"")</f>
        <v>10</v>
      </c>
      <c r="K32" s="8" t="s">
        <v>20</v>
      </c>
      <c r="L32" s="9" t="s">
        <v>21</v>
      </c>
      <c r="M32" s="9">
        <v>10</v>
      </c>
      <c r="N32" s="24" t="s">
        <v>24</v>
      </c>
      <c r="O32" s="9"/>
      <c r="P32" s="9"/>
      <c r="Q32" s="9"/>
      <c r="R32" s="113" t="s">
        <v>29</v>
      </c>
      <c r="S32" s="11">
        <v>0.79166666666666663</v>
      </c>
      <c r="T32" s="113" t="s">
        <v>334</v>
      </c>
      <c r="U32" s="113"/>
      <c r="V32" s="113">
        <v>50</v>
      </c>
      <c r="W32" s="142">
        <v>4493865369</v>
      </c>
      <c r="X32" s="50" t="s">
        <v>440</v>
      </c>
      <c r="Y32" s="142"/>
      <c r="Z32" s="50" t="s">
        <v>440</v>
      </c>
      <c r="AA32" s="142" t="s">
        <v>439</v>
      </c>
      <c r="AB32" s="30"/>
      <c r="AC32" s="6">
        <v>42370</v>
      </c>
      <c r="AD32" s="147">
        <f>IF(YEAR(Tabla2[[#This Row],[FECHA DE NACIMIENTO DEL ALUMNO]])&lt;&gt;1900,YEAR(Tabla2[[#This Row],[FECHA DE NACIMIENTO DEL ALUMNO]]),"")</f>
        <v>2016</v>
      </c>
      <c r="AE32" s="95"/>
      <c r="AF32" s="23"/>
      <c r="AG32" s="18"/>
      <c r="AH32" s="71"/>
      <c r="AI32" s="73"/>
      <c r="AJ32" s="23"/>
      <c r="AK32" s="71"/>
      <c r="AL32" s="236">
        <f>IF(Tabla2[[#This Row],[RECIBO ACTUAL]]=0,0,_xlfn.XLOOKUP(CONCATENATE(Tabla2[[#This Row],[CLASE]],Tabla2[[#This Row],[DURACIÓN]]),DevelupeMode!$P$4:$P$10,DevelupeMode!$Q$4:$Q$10,0))</f>
        <v>0</v>
      </c>
      <c r="AM32" s="23"/>
      <c r="AN32" s="34"/>
      <c r="AO32">
        <f>_xlfn.XLOOKUP(Tabla2[[#This Row],[CURSO]],DevelupeMode!$T$4:$T$11,DevelupeMode!$U$4:$U$11,AO31+1)</f>
        <v>2</v>
      </c>
    </row>
    <row r="33" spans="2:42" ht="15" hidden="1" customHeight="1" x14ac:dyDescent="0.25">
      <c r="B33" s="206"/>
      <c r="C33" s="205">
        <f>IFERROR(IF(Tabla2[[#This Row],[Status]]="",0,IF(LEFT(Tabla2[[#This Row],[Status]],4)="Baja",C32,C32+1)),1)</f>
        <v>2</v>
      </c>
      <c r="D33" s="87" t="s">
        <v>148</v>
      </c>
      <c r="E33" s="87" t="str">
        <f>IF(AND(Tabla2[[#This Row],[RECIBO ACTUAL]]="",Tabla2[[#This Row],[Status]]="Activo"),"paguenmelaren","")</f>
        <v/>
      </c>
      <c r="F33" s="87"/>
      <c r="G33" s="182">
        <v>45304</v>
      </c>
      <c r="H33" s="204" t="str">
        <f>IFERROR(CONCATENATE("AGS015",MID(Tabla2[[#This Row],[ALUMNO]],1,2),MID(Tabla2[[#This Row],[ALUMNO]],FIND(" ",Tabla2[[#This Row],[ALUMNO]],1)+1,2)),"Aguas")</f>
        <v>AGS015CéAn</v>
      </c>
      <c r="I33" s="7" t="s">
        <v>244</v>
      </c>
      <c r="J33" s="7">
        <f ca="1">IFERROR(YEAR(TODAY())-Tabla2[[#This Row],[año]],"")</f>
        <v>27</v>
      </c>
      <c r="K33" s="8" t="s">
        <v>20</v>
      </c>
      <c r="L33" s="9" t="s">
        <v>21</v>
      </c>
      <c r="M33" s="9">
        <v>8</v>
      </c>
      <c r="N33" s="24" t="s">
        <v>24</v>
      </c>
      <c r="O33" s="158"/>
      <c r="P33" s="9"/>
      <c r="Q33" s="9"/>
      <c r="R33" s="176" t="s">
        <v>35</v>
      </c>
      <c r="S33" s="11">
        <v>0.45833333333333331</v>
      </c>
      <c r="T33" s="113" t="s">
        <v>334</v>
      </c>
      <c r="U33" s="113"/>
      <c r="V33" s="176">
        <v>50</v>
      </c>
      <c r="W33" s="142">
        <v>4499062359</v>
      </c>
      <c r="X33" s="238" t="s">
        <v>38</v>
      </c>
      <c r="Y33" s="142">
        <v>4493482625</v>
      </c>
      <c r="Z33" s="142"/>
      <c r="AA33" s="142"/>
      <c r="AB33" s="248" t="s">
        <v>39</v>
      </c>
      <c r="AC33" s="6">
        <v>36453</v>
      </c>
      <c r="AD33" s="147">
        <f>IF(YEAR(Tabla2[[#This Row],[FECHA DE NACIMIENTO DEL ALUMNO]])&lt;&gt;1900,YEAR(Tabla2[[#This Row],[FECHA DE NACIMIENTO DEL ALUMNO]]),"")</f>
        <v>1999</v>
      </c>
      <c r="AE33" s="18"/>
      <c r="AF33" s="31"/>
      <c r="AG33" s="154"/>
      <c r="AH33" s="17"/>
      <c r="AI33" s="18"/>
      <c r="AJ33" s="32"/>
      <c r="AK33" s="17"/>
      <c r="AL33" s="236">
        <f>IF(Tabla2[[#This Row],[RECIBO ACTUAL]]=0,0,_xlfn.XLOOKUP(CONCATENATE(Tabla2[[#This Row],[CLASE]],Tabla2[[#This Row],[DURACIÓN]]),DevelupeMode!$P$4:$P$10,DevelupeMode!$Q$4:$Q$10,0))</f>
        <v>0</v>
      </c>
      <c r="AM33" s="9"/>
      <c r="AN33" s="33"/>
      <c r="AO33">
        <f>_xlfn.XLOOKUP(Tabla2[[#This Row],[CURSO]],DevelupeMode!$T$4:$T$11,DevelupeMode!$U$4:$U$11,AO32+1)</f>
        <v>2</v>
      </c>
    </row>
    <row r="34" spans="2:42" ht="15" hidden="1" customHeight="1" x14ac:dyDescent="0.25">
      <c r="B34" s="206"/>
      <c r="C34" s="205">
        <f>IFERROR(IF(Tabla2[[#This Row],[Status]]="",0,IF(LEFT(Tabla2[[#This Row],[Status]],4)="Baja",C33,C33+1)),1)</f>
        <v>2</v>
      </c>
      <c r="D34" s="87" t="s">
        <v>148</v>
      </c>
      <c r="E34" s="87" t="str">
        <f>IF(AND(Tabla2[[#This Row],[RECIBO ACTUAL]]="",Tabla2[[#This Row],[Status]]="Activo"),"paguenmelaren","")</f>
        <v/>
      </c>
      <c r="F34" s="87"/>
      <c r="G34" s="182">
        <v>45620</v>
      </c>
      <c r="H34" s="204" t="str">
        <f>IFERROR(CONCATENATE("AGS015",MID(Tabla2[[#This Row],[ALUMNO]],1,2),MID(Tabla2[[#This Row],[ALUMNO]],FIND(" ",Tabla2[[#This Row],[ALUMNO]],1)+1,2)),"Aguas")</f>
        <v>AGS015OrRe</v>
      </c>
      <c r="I34" s="7" t="s">
        <v>517</v>
      </c>
      <c r="J34" s="7">
        <f ca="1">IFERROR(YEAR(TODAY())-Tabla2[[#This Row],[año]],"")</f>
        <v>22</v>
      </c>
      <c r="K34" s="8" t="s">
        <v>20</v>
      </c>
      <c r="L34" s="9" t="s">
        <v>21</v>
      </c>
      <c r="M34" s="9">
        <v>10</v>
      </c>
      <c r="N34" s="24" t="s">
        <v>24</v>
      </c>
      <c r="O34" s="9"/>
      <c r="P34" s="9"/>
      <c r="Q34" s="9"/>
      <c r="R34" s="113" t="s">
        <v>29</v>
      </c>
      <c r="S34" s="11">
        <v>0.79166666666666663</v>
      </c>
      <c r="T34" s="113" t="s">
        <v>334</v>
      </c>
      <c r="U34" s="113"/>
      <c r="V34" s="113">
        <v>50</v>
      </c>
      <c r="W34" s="142">
        <v>3344268098</v>
      </c>
      <c r="X34" s="50"/>
      <c r="Y34" s="142"/>
      <c r="Z34" s="142"/>
      <c r="AA34" s="142"/>
      <c r="AB34" s="30"/>
      <c r="AC34" s="6">
        <v>38126</v>
      </c>
      <c r="AD34" s="147">
        <f>IF(YEAR(Tabla2[[#This Row],[FECHA DE NACIMIENTO DEL ALUMNO]])&lt;&gt;1900,YEAR(Tabla2[[#This Row],[FECHA DE NACIMIENTO DEL ALUMNO]]),"")</f>
        <v>2004</v>
      </c>
      <c r="AE34" s="95"/>
      <c r="AF34" s="23"/>
      <c r="AG34" s="155"/>
      <c r="AH34" s="17"/>
      <c r="AI34" s="18"/>
      <c r="AJ34" s="23"/>
      <c r="AK34" s="17"/>
      <c r="AL34" s="236">
        <f>IF(Tabla2[[#This Row],[RECIBO ACTUAL]]=0,0,_xlfn.XLOOKUP(CONCATENATE(Tabla2[[#This Row],[CLASE]],Tabla2[[#This Row],[DURACIÓN]]),DevelupeMode!$P$4:$P$10,DevelupeMode!$Q$4:$Q$10,0))</f>
        <v>0</v>
      </c>
      <c r="AM34" s="9"/>
      <c r="AN34" s="34"/>
      <c r="AO34">
        <f>_xlfn.XLOOKUP(Tabla2[[#This Row],[CURSO]],DevelupeMode!$T$4:$T$11,DevelupeMode!$U$4:$U$11,AO33+1)</f>
        <v>2</v>
      </c>
    </row>
    <row r="35" spans="2:42" ht="15" hidden="1" customHeight="1" x14ac:dyDescent="0.25">
      <c r="B35" s="206"/>
      <c r="C35" s="205">
        <f>IFERROR(IF(Tabla2[[#This Row],[Status]]="",0,IF(LEFT(Tabla2[[#This Row],[Status]],4)="Baja",C34,C34+1)),1)</f>
        <v>2</v>
      </c>
      <c r="D35" s="87" t="s">
        <v>148</v>
      </c>
      <c r="E35" s="87" t="str">
        <f>IF(AND(Tabla2[[#This Row],[RECIBO ACTUAL]]="",Tabla2[[#This Row],[Status]]="Activo"),"paguenmelaren","")</f>
        <v/>
      </c>
      <c r="F35" s="87"/>
      <c r="G35" s="182">
        <v>45497</v>
      </c>
      <c r="H35" s="204" t="str">
        <f>IFERROR(CONCATENATE("AGS015",MID(Tabla2[[#This Row],[ALUMNO]],1,2),MID(Tabla2[[#This Row],[ALUMNO]],FIND(" ",Tabla2[[#This Row],[ALUMNO]],1)+1,2)),"Aguas")</f>
        <v>AGS015EmGu</v>
      </c>
      <c r="I35" s="7" t="s">
        <v>203</v>
      </c>
      <c r="J35" s="7">
        <f ca="1">IFERROR(YEAR(TODAY())-Tabla2[[#This Row],[año]],"")</f>
        <v>17</v>
      </c>
      <c r="K35" s="8" t="s">
        <v>20</v>
      </c>
      <c r="L35" s="9" t="s">
        <v>21</v>
      </c>
      <c r="M35" s="9">
        <v>10</v>
      </c>
      <c r="N35" s="24" t="s">
        <v>24</v>
      </c>
      <c r="O35" s="9"/>
      <c r="P35" s="9"/>
      <c r="Q35" s="9"/>
      <c r="R35" s="113" t="s">
        <v>35</v>
      </c>
      <c r="S35" s="11">
        <v>0.5</v>
      </c>
      <c r="T35" s="113" t="s">
        <v>334</v>
      </c>
      <c r="U35" s="113"/>
      <c r="V35" s="113">
        <v>50</v>
      </c>
      <c r="W35" s="142">
        <v>4493050934</v>
      </c>
      <c r="X35" s="50"/>
      <c r="Y35" s="142"/>
      <c r="Z35" s="142"/>
      <c r="AA35" s="142"/>
      <c r="AB35" s="30"/>
      <c r="AC35" s="6">
        <v>39814</v>
      </c>
      <c r="AD35" s="147">
        <f>IF(YEAR(Tabla2[[#This Row],[FECHA DE NACIMIENTO DEL ALUMNO]])&lt;&gt;1900,YEAR(Tabla2[[#This Row],[FECHA DE NACIMIENTO DEL ALUMNO]]),"")</f>
        <v>2009</v>
      </c>
      <c r="AE35" s="95">
        <v>600</v>
      </c>
      <c r="AF35" s="23" t="s">
        <v>205</v>
      </c>
      <c r="AG35" s="155">
        <v>540</v>
      </c>
      <c r="AH35" s="17"/>
      <c r="AI35" s="166"/>
      <c r="AJ35" s="23"/>
      <c r="AK35" s="17"/>
      <c r="AL35" s="236">
        <f>IF(Tabla2[[#This Row],[RECIBO ACTUAL]]=0,0,_xlfn.XLOOKUP(CONCATENATE(Tabla2[[#This Row],[CLASE]],Tabla2[[#This Row],[DURACIÓN]]),DevelupeMode!$P$4:$P$10,DevelupeMode!$Q$4:$Q$10,0))</f>
        <v>0</v>
      </c>
      <c r="AM35" s="21"/>
      <c r="AN35" s="34"/>
      <c r="AO35">
        <f>_xlfn.XLOOKUP(Tabla2[[#This Row],[CURSO]],DevelupeMode!$T$4:$T$11,DevelupeMode!$U$4:$U$11,AO34+1)</f>
        <v>2</v>
      </c>
    </row>
    <row r="36" spans="2:42" ht="15" hidden="1" customHeight="1" x14ac:dyDescent="0.25">
      <c r="B36" s="206"/>
      <c r="C36" s="205">
        <f>IFERROR(IF(Tabla2[[#This Row],[Status]]="",0,IF(LEFT(Tabla2[[#This Row],[Status]],4)="Baja",C35,C35+1)),1)</f>
        <v>2</v>
      </c>
      <c r="D36" s="87" t="s">
        <v>148</v>
      </c>
      <c r="E36" s="87" t="str">
        <f>IF(AND(Tabla2[[#This Row],[RECIBO ACTUAL]]="",Tabla2[[#This Row],[Status]]="Activo"),"paguenmelaren","")</f>
        <v/>
      </c>
      <c r="F36" s="87"/>
      <c r="G36" s="182">
        <v>45650</v>
      </c>
      <c r="H36" s="204" t="str">
        <f>IFERROR(CONCATENATE("AGS015",MID(Tabla2[[#This Row],[ALUMNO]],1,2),MID(Tabla2[[#This Row],[ALUMNO]],FIND(" ",Tabla2[[#This Row],[ALUMNO]],1)+1,2)),"Aguas")</f>
        <v>AGS015RoGo</v>
      </c>
      <c r="I36" s="7" t="s">
        <v>410</v>
      </c>
      <c r="J36" s="7">
        <f ca="1">IFERROR(YEAR(TODAY())-Tabla2[[#This Row],[año]],"")</f>
        <v>84</v>
      </c>
      <c r="K36" s="8" t="s">
        <v>20</v>
      </c>
      <c r="L36" s="9" t="s">
        <v>21</v>
      </c>
      <c r="M36" s="9">
        <v>10</v>
      </c>
      <c r="N36" s="24" t="s">
        <v>24</v>
      </c>
      <c r="O36" s="9" t="str">
        <f>IF(Tabla2[[#This Row],[MÉTODO]]="Yamaha","Royalty","")</f>
        <v>Royalty</v>
      </c>
      <c r="P36" s="9"/>
      <c r="Q36" s="9"/>
      <c r="R36" s="113" t="s">
        <v>58</v>
      </c>
      <c r="S36" s="11">
        <v>0.80208333333333337</v>
      </c>
      <c r="T36" s="113" t="s">
        <v>113</v>
      </c>
      <c r="U36" s="113"/>
      <c r="V36" s="113">
        <v>45</v>
      </c>
      <c r="W36" s="142" t="s">
        <v>411</v>
      </c>
      <c r="X36" s="50"/>
      <c r="Y36" s="12" t="s">
        <v>412</v>
      </c>
      <c r="Z36" s="142"/>
      <c r="AA36" s="142"/>
      <c r="AB36" s="30"/>
      <c r="AC36" s="6">
        <v>15342</v>
      </c>
      <c r="AD36" s="147">
        <f>IF(YEAR(Tabla2[[#This Row],[FECHA DE NACIMIENTO DEL ALUMNO]])&lt;&gt;1900,YEAR(Tabla2[[#This Row],[FECHA DE NACIMIENTO DEL ALUMNO]]),"")</f>
        <v>1942</v>
      </c>
      <c r="AE36" s="95"/>
      <c r="AF36" s="23"/>
      <c r="AG36" s="18"/>
      <c r="AH36" s="17"/>
      <c r="AI36" s="18"/>
      <c r="AJ36" s="23"/>
      <c r="AK36" s="17"/>
      <c r="AL36" s="236">
        <f>IF(Tabla2[[#This Row],[RECIBO ACTUAL]]=0,0,_xlfn.XLOOKUP(CONCATENATE(Tabla2[[#This Row],[CLASE]],Tabla2[[#This Row],[DURACIÓN]]),DevelupeMode!$P$4:$P$10,DevelupeMode!$Q$4:$Q$10,0))</f>
        <v>0</v>
      </c>
      <c r="AM36" s="23"/>
      <c r="AN36" s="34"/>
      <c r="AO36">
        <f>_xlfn.XLOOKUP(Tabla2[[#This Row],[CURSO]],DevelupeMode!$T$4:$T$11,DevelupeMode!$U$4:$U$11,AO35+1)</f>
        <v>2</v>
      </c>
    </row>
    <row r="37" spans="2:42" ht="15" hidden="1" customHeight="1" x14ac:dyDescent="0.25">
      <c r="B37" s="206"/>
      <c r="C37" s="205">
        <f>IFERROR(IF(Tabla2[[#This Row],[Status]]="",0,IF(LEFT(Tabla2[[#This Row],[Status]],4)="Baja",C36,C36+1)),1)</f>
        <v>2</v>
      </c>
      <c r="D37" s="87" t="s">
        <v>148</v>
      </c>
      <c r="E37" s="87" t="str">
        <f>IF(AND(Tabla2[[#This Row],[RECIBO ACTUAL]]="",Tabla2[[#This Row],[Status]]="Activo"),"paguenmelaren","")</f>
        <v/>
      </c>
      <c r="F37" s="87"/>
      <c r="G37" s="182">
        <v>45497</v>
      </c>
      <c r="H37" s="204" t="str">
        <f>IFERROR(CONCATENATE("AGS015",MID(Tabla2[[#This Row],[ALUMNO]],1,2),MID(Tabla2[[#This Row],[ALUMNO]],FIND(" ",Tabla2[[#This Row],[ALUMNO]],1)+1,2)),"Aguas")</f>
        <v>AGS015AdGu</v>
      </c>
      <c r="I37" s="7" t="s">
        <v>204</v>
      </c>
      <c r="J37" s="7">
        <f ca="1">IFERROR(YEAR(TODAY())-Tabla2[[#This Row],[año]],"")</f>
        <v>46</v>
      </c>
      <c r="K37" s="8" t="s">
        <v>20</v>
      </c>
      <c r="L37" s="9" t="s">
        <v>21</v>
      </c>
      <c r="M37" s="9">
        <v>10</v>
      </c>
      <c r="N37" s="24" t="s">
        <v>24</v>
      </c>
      <c r="O37" s="9"/>
      <c r="P37" s="9"/>
      <c r="Q37" s="9"/>
      <c r="R37" s="113" t="s">
        <v>35</v>
      </c>
      <c r="S37" s="11">
        <v>0.5</v>
      </c>
      <c r="T37" s="113" t="s">
        <v>334</v>
      </c>
      <c r="U37" s="113"/>
      <c r="V37" s="113">
        <v>50</v>
      </c>
      <c r="W37" s="142">
        <v>5510942463</v>
      </c>
      <c r="X37" s="50"/>
      <c r="Y37" s="142"/>
      <c r="Z37" s="142"/>
      <c r="AA37" s="142"/>
      <c r="AB37" s="30"/>
      <c r="AC37" s="6">
        <v>29221</v>
      </c>
      <c r="AD37" s="147">
        <f>IF(YEAR(Tabla2[[#This Row],[FECHA DE NACIMIENTO DEL ALUMNO]])&lt;&gt;1900,YEAR(Tabla2[[#This Row],[FECHA DE NACIMIENTO DEL ALUMNO]]),"")</f>
        <v>1980</v>
      </c>
      <c r="AE37" s="95">
        <v>600</v>
      </c>
      <c r="AF37" s="23" t="s">
        <v>205</v>
      </c>
      <c r="AG37" s="155">
        <v>540</v>
      </c>
      <c r="AH37" s="17"/>
      <c r="AI37" s="166"/>
      <c r="AJ37" s="23"/>
      <c r="AK37" s="17"/>
      <c r="AL37" s="236">
        <f>IF(Tabla2[[#This Row],[RECIBO ACTUAL]]=0,0,_xlfn.XLOOKUP(CONCATENATE(Tabla2[[#This Row],[CLASE]],Tabla2[[#This Row],[DURACIÓN]]),DevelupeMode!$P$4:$P$10,DevelupeMode!$Q$4:$Q$10,0))</f>
        <v>0</v>
      </c>
      <c r="AM37" s="21"/>
      <c r="AN37" s="34"/>
      <c r="AO37">
        <f>_xlfn.XLOOKUP(Tabla2[[#This Row],[CURSO]],DevelupeMode!$T$4:$T$11,DevelupeMode!$U$4:$U$11,AO36+1)</f>
        <v>2</v>
      </c>
    </row>
    <row r="38" spans="2:42" ht="15" hidden="1" customHeight="1" x14ac:dyDescent="0.25">
      <c r="B38" s="206"/>
      <c r="C38" s="205">
        <f>IFERROR(IF(Tabla2[[#This Row],[Status]]="",0,IF(LEFT(Tabla2[[#This Row],[Status]],4)="Baja",C37,C37+1)),1)</f>
        <v>2</v>
      </c>
      <c r="D38" s="87" t="s">
        <v>419</v>
      </c>
      <c r="E38" s="87" t="str">
        <f>IF(AND(Tabla2[[#This Row],[RECIBO ACTUAL]]="",Tabla2[[#This Row],[Status]]="Activo"),"paguenmelaren","")</f>
        <v/>
      </c>
      <c r="F38" s="87"/>
      <c r="G38" s="182">
        <v>45206</v>
      </c>
      <c r="H38" s="204" t="str">
        <f>IFERROR(CONCATENATE("AGS015",MID(Tabla2[[#This Row],[ALUMNO]],1,2),MID(Tabla2[[#This Row],[ALUMNO]],FIND(" ",Tabla2[[#This Row],[ALUMNO]],1)+1,2)),"Aguas")</f>
        <v>AGS015EmAi</v>
      </c>
      <c r="I38" s="7" t="s">
        <v>237</v>
      </c>
      <c r="J38" s="7">
        <f ca="1">IFERROR(YEAR(TODAY())-Tabla2[[#This Row],[año]],"")</f>
        <v>17</v>
      </c>
      <c r="K38" s="8" t="s">
        <v>20</v>
      </c>
      <c r="L38" s="9" t="s">
        <v>21</v>
      </c>
      <c r="M38" s="9">
        <v>9</v>
      </c>
      <c r="N38" s="24" t="s">
        <v>24</v>
      </c>
      <c r="O38" s="9" t="str">
        <f>IF(Tabla2[[#This Row],[MÉTODO]]="Yamaha","Royalty","")</f>
        <v>Royalty</v>
      </c>
      <c r="P38" s="9"/>
      <c r="Q38" s="9"/>
      <c r="R38" s="113" t="s">
        <v>32</v>
      </c>
      <c r="S38" s="11">
        <v>0.72916666666666663</v>
      </c>
      <c r="T38" s="113" t="s">
        <v>113</v>
      </c>
      <c r="U38" s="113"/>
      <c r="V38" s="113">
        <v>45</v>
      </c>
      <c r="W38" s="12"/>
      <c r="X38" s="12" t="s">
        <v>30</v>
      </c>
      <c r="Y38" s="12" t="s">
        <v>31</v>
      </c>
      <c r="Z38" s="12"/>
      <c r="AA38" s="12"/>
      <c r="AB38" s="13"/>
      <c r="AC38" s="25">
        <v>39814</v>
      </c>
      <c r="AD38" s="147">
        <f>IF(YEAR(Tabla2[[#This Row],[FECHA DE NACIMIENTO DEL ALUMNO]])&lt;&gt;1900,YEAR(Tabla2[[#This Row],[FECHA DE NACIMIENTO DEL ALUMNO]]),"")</f>
        <v>2009</v>
      </c>
      <c r="AE38" s="14"/>
      <c r="AF38" s="15"/>
      <c r="AG38" s="16"/>
      <c r="AH38" s="17"/>
      <c r="AI38" s="26"/>
      <c r="AJ38" s="22"/>
      <c r="AK38" s="17"/>
      <c r="AL38" s="236">
        <f>IF(Tabla2[[#This Row],[RECIBO ACTUAL]]=0,0,_xlfn.XLOOKUP(CONCATENATE(Tabla2[[#This Row],[CLASE]],Tabla2[[#This Row],[DURACIÓN]]),DevelupeMode!$P$4:$P$10,DevelupeMode!$Q$4:$Q$10,0))</f>
        <v>0</v>
      </c>
      <c r="AM38" s="21"/>
      <c r="AN38" s="22"/>
      <c r="AO38">
        <f>_xlfn.XLOOKUP(Tabla2[[#This Row],[CURSO]],DevelupeMode!$T$4:$T$11,DevelupeMode!$U$4:$U$11,AO37+1)</f>
        <v>2</v>
      </c>
    </row>
    <row r="39" spans="2:42" ht="15" hidden="1" customHeight="1" x14ac:dyDescent="0.25">
      <c r="B39" s="206"/>
      <c r="C39" s="205">
        <f>IFERROR(IF(Tabla2[[#This Row],[Status]]="",0,IF(LEFT(Tabla2[[#This Row],[Status]],4)="Baja",C38,C38+1)),1)</f>
        <v>2</v>
      </c>
      <c r="D39" s="88" t="s">
        <v>335</v>
      </c>
      <c r="E39" s="87" t="str">
        <f>IF(AND(Tabla2[[#This Row],[RECIBO ACTUAL]]="",Tabla2[[#This Row],[Status]]="Activo"),"paguenmelaren","")</f>
        <v/>
      </c>
      <c r="F39" s="87"/>
      <c r="G39" s="182">
        <v>45308</v>
      </c>
      <c r="H39" s="204" t="str">
        <f>IFERROR(CONCATENATE("AGS015",MID(Tabla2[[#This Row],[ALUMNO]],1,2),MID(Tabla2[[#This Row],[ALUMNO]],FIND(" ",Tabla2[[#This Row],[ALUMNO]],1)+1,2)),"Aguas")</f>
        <v>AGS015JaGo</v>
      </c>
      <c r="I39" s="7" t="s">
        <v>243</v>
      </c>
      <c r="J39" s="7">
        <f ca="1">IFERROR(YEAR(TODAY())-Tabla2[[#This Row],[año]],"")</f>
        <v>59</v>
      </c>
      <c r="K39" s="8" t="s">
        <v>20</v>
      </c>
      <c r="L39" s="9" t="s">
        <v>21</v>
      </c>
      <c r="M39" s="9"/>
      <c r="N39" s="9"/>
      <c r="O39" s="9" t="str">
        <f>IF(Tabla2[[#This Row],[MÉTODO]]="Yamaha","Royalty","")</f>
        <v/>
      </c>
      <c r="P39" s="9"/>
      <c r="Q39" s="9"/>
      <c r="R39" s="113" t="s">
        <v>32</v>
      </c>
      <c r="S39" s="11">
        <v>0.72916666666666663</v>
      </c>
      <c r="T39" s="113" t="s">
        <v>113</v>
      </c>
      <c r="U39" s="113"/>
      <c r="V39" s="113">
        <v>45</v>
      </c>
      <c r="W39" s="12" t="s">
        <v>33</v>
      </c>
      <c r="X39" s="12" t="s">
        <v>22</v>
      </c>
      <c r="Y39" s="12"/>
      <c r="Z39" s="12"/>
      <c r="AA39" s="12"/>
      <c r="AB39" s="27" t="s">
        <v>34</v>
      </c>
      <c r="AC39" s="6">
        <v>24701</v>
      </c>
      <c r="AD39" s="147">
        <f>IF(YEAR(Tabla2[[#This Row],[FECHA DE NACIMIENTO DEL ALUMNO]])&lt;&gt;1900,YEAR(Tabla2[[#This Row],[FECHA DE NACIMIENTO DEL ALUMNO]]),"")</f>
        <v>1967</v>
      </c>
      <c r="AE39" s="18"/>
      <c r="AF39" s="23"/>
      <c r="AG39" s="23"/>
      <c r="AH39" s="17"/>
      <c r="AI39" s="20"/>
      <c r="AJ39" s="23"/>
      <c r="AK39" s="17"/>
      <c r="AL39" s="236">
        <f>IF(Tabla2[[#This Row],[RECIBO ACTUAL]]=0,0,_xlfn.XLOOKUP(CONCATENATE(Tabla2[[#This Row],[CLASE]],Tabla2[[#This Row],[DURACIÓN]]),DevelupeMode!$P$4:$P$10,DevelupeMode!$Q$4:$Q$10,0))</f>
        <v>0</v>
      </c>
      <c r="AM39" s="21"/>
      <c r="AN39" s="22"/>
      <c r="AO39">
        <f>_xlfn.XLOOKUP(Tabla2[[#This Row],[CURSO]],DevelupeMode!$T$4:$T$11,DevelupeMode!$U$4:$U$11,AO38+1)</f>
        <v>2</v>
      </c>
    </row>
    <row r="40" spans="2:42" ht="15" hidden="1" customHeight="1" x14ac:dyDescent="0.25">
      <c r="B40" s="206"/>
      <c r="C40" s="205">
        <f>IFERROR(IF(Tabla2[[#This Row],[Status]]="",0,IF(LEFT(Tabla2[[#This Row],[Status]],4)="Baja",C39,C39+1)),1)</f>
        <v>2</v>
      </c>
      <c r="D40" s="87" t="s">
        <v>148</v>
      </c>
      <c r="E40" s="87" t="str">
        <f>IF(AND(Tabla2[[#This Row],[RECIBO ACTUAL]]="",Tabla2[[#This Row],[Status]]="Activo"),"paguenmelaren","")</f>
        <v/>
      </c>
      <c r="F40" s="87"/>
      <c r="G40" s="182">
        <v>45360</v>
      </c>
      <c r="H40" s="204" t="str">
        <f>IFERROR(CONCATENATE("AGS015",MID(Tabla2[[#This Row],[ALUMNO]],1,2),MID(Tabla2[[#This Row],[ALUMNO]],FIND(" ",Tabla2[[#This Row],[ALUMNO]],1)+1,2)),"Aguas")</f>
        <v>AGS015MaLe</v>
      </c>
      <c r="I40" s="7" t="s">
        <v>188</v>
      </c>
      <c r="J40" s="7">
        <f ca="1">IFERROR(YEAR(TODAY())-Tabla2[[#This Row],[año]],"")</f>
        <v>59</v>
      </c>
      <c r="K40" s="36" t="s">
        <v>41</v>
      </c>
      <c r="L40" s="9" t="s">
        <v>42</v>
      </c>
      <c r="M40" s="9">
        <v>10</v>
      </c>
      <c r="N40" s="24" t="s">
        <v>24</v>
      </c>
      <c r="O40" s="9"/>
      <c r="P40" s="9"/>
      <c r="Q40" s="9"/>
      <c r="R40" s="113" t="s">
        <v>35</v>
      </c>
      <c r="S40" s="11">
        <v>0.45833333333333331</v>
      </c>
      <c r="T40" s="113" t="s">
        <v>113</v>
      </c>
      <c r="U40" s="113" t="s">
        <v>390</v>
      </c>
      <c r="V40" s="113">
        <v>60</v>
      </c>
      <c r="W40" s="142">
        <v>4491436485</v>
      </c>
      <c r="X40" s="28" t="s">
        <v>22</v>
      </c>
      <c r="Y40" s="142"/>
      <c r="Z40" s="142"/>
      <c r="AA40" s="142"/>
      <c r="AB40" s="30" t="s">
        <v>50</v>
      </c>
      <c r="AC40" s="6">
        <v>24725</v>
      </c>
      <c r="AD40" s="147">
        <f>IF(YEAR(Tabla2[[#This Row],[FECHA DE NACIMIENTO DEL ALUMNO]])&lt;&gt;1900,YEAR(Tabla2[[#This Row],[FECHA DE NACIMIENTO DEL ALUMNO]]),"")</f>
        <v>1967</v>
      </c>
      <c r="AE40" s="18"/>
      <c r="AF40" s="23"/>
      <c r="AG40" s="154"/>
      <c r="AH40" s="42"/>
      <c r="AI40" s="18"/>
      <c r="AJ40" s="23"/>
      <c r="AK40" s="42"/>
      <c r="AL40" s="236">
        <f>IF(Tabla2[[#This Row],[RECIBO ACTUAL]]=0,0,_xlfn.XLOOKUP(CONCATENATE(Tabla2[[#This Row],[CLASE]],Tabla2[[#This Row],[DURACIÓN]]),DevelupeMode!$P$4:$P$10,DevelupeMode!$Q$4:$Q$10,0))</f>
        <v>0</v>
      </c>
      <c r="AM40" s="22"/>
      <c r="AN40" s="33"/>
      <c r="AO40">
        <f>_xlfn.XLOOKUP(Tabla2[[#This Row],[CURSO]],DevelupeMode!$T$4:$T$11,DevelupeMode!$U$4:$U$11,AO39+1)</f>
        <v>4</v>
      </c>
    </row>
    <row r="41" spans="2:42" ht="15" hidden="1" customHeight="1" x14ac:dyDescent="0.25">
      <c r="B41" s="206"/>
      <c r="C41" s="205">
        <f>IFERROR(IF(Tabla2[[#This Row],[Status]]="",0,IF(LEFT(Tabla2[[#This Row],[Status]],4)="Baja",C40,C40+1)),1)</f>
        <v>2</v>
      </c>
      <c r="D41" s="87" t="s">
        <v>148</v>
      </c>
      <c r="E41" s="87" t="str">
        <f>IF(AND(Tabla2[[#This Row],[RECIBO ACTUAL]]="",Tabla2[[#This Row],[Status]]="Activo"),"paguenmelaren","")</f>
        <v/>
      </c>
      <c r="F41" s="87"/>
      <c r="G41" s="182">
        <v>45559</v>
      </c>
      <c r="H41" s="204" t="str">
        <f>IFERROR(CONCATENATE("AGS015",MID(Tabla2[[#This Row],[ALUMNO]],1,2),MID(Tabla2[[#This Row],[ALUMNO]],FIND(" ",Tabla2[[#This Row],[ALUMNO]],1)+1,2)),"Aguas")</f>
        <v>AGS015KiGa</v>
      </c>
      <c r="I41" s="7" t="s">
        <v>385</v>
      </c>
      <c r="J41" s="7">
        <f ca="1">IFERROR(YEAR(TODAY())-Tabla2[[#This Row],[año]],"")</f>
        <v>31</v>
      </c>
      <c r="K41" s="36" t="s">
        <v>41</v>
      </c>
      <c r="L41" s="9" t="s">
        <v>42</v>
      </c>
      <c r="M41" s="9"/>
      <c r="N41" s="24"/>
      <c r="O41" s="9"/>
      <c r="P41" s="9"/>
      <c r="Q41" s="9"/>
      <c r="R41" s="113" t="s">
        <v>35</v>
      </c>
      <c r="S41" s="11">
        <v>0.46875</v>
      </c>
      <c r="T41" s="113" t="s">
        <v>113</v>
      </c>
      <c r="U41" s="113" t="s">
        <v>390</v>
      </c>
      <c r="V41" s="113">
        <v>45</v>
      </c>
      <c r="W41" s="12" t="s">
        <v>386</v>
      </c>
      <c r="X41" s="12"/>
      <c r="Y41" s="142"/>
      <c r="Z41" s="142"/>
      <c r="AA41" s="142"/>
      <c r="AB41" s="13"/>
      <c r="AC41" s="25">
        <v>34700</v>
      </c>
      <c r="AD41" s="147">
        <f>IF(YEAR(Tabla2[[#This Row],[FECHA DE NACIMIENTO DEL ALUMNO]])&lt;&gt;1900,YEAR(Tabla2[[#This Row],[FECHA DE NACIMIENTO DEL ALUMNO]]),"")</f>
        <v>1995</v>
      </c>
      <c r="AE41" s="14"/>
      <c r="AF41" s="15"/>
      <c r="AG41" s="152"/>
      <c r="AH41" s="37"/>
      <c r="AI41" s="20"/>
      <c r="AJ41" s="19"/>
      <c r="AK41" s="37"/>
      <c r="AL41" s="236">
        <f>IF(Tabla2[[#This Row],[RECIBO ACTUAL]]=0,0,_xlfn.XLOOKUP(CONCATENATE(Tabla2[[#This Row],[CLASE]],Tabla2[[#This Row],[DURACIÓN]]),DevelupeMode!$P$4:$P$10,DevelupeMode!$Q$4:$Q$10,0))</f>
        <v>0</v>
      </c>
      <c r="AM41" s="21"/>
      <c r="AN41" s="22"/>
      <c r="AO41">
        <f>_xlfn.XLOOKUP(Tabla2[[#This Row],[CURSO]],DevelupeMode!$T$4:$T$11,DevelupeMode!$U$4:$U$11,AO40+1)</f>
        <v>4</v>
      </c>
    </row>
    <row r="42" spans="2:42" ht="15" customHeight="1" x14ac:dyDescent="0.25">
      <c r="B42" s="216"/>
      <c r="C42" s="205">
        <f>IFERROR(IF(Tabla2[[#This Row],[Status]]="",0,IF(LEFT(Tabla2[[#This Row],[Status]],4)="Baja",C41,C41+1)),1)</f>
        <v>3</v>
      </c>
      <c r="D42" s="87" t="s">
        <v>19</v>
      </c>
      <c r="E42" s="87" t="str">
        <f>IF(AND(Tabla2[[#This Row],[RECIBO ACTUAL]]="",Tabla2[[#This Row],[Status]]="Activo"),"paguenmelaren","")</f>
        <v/>
      </c>
      <c r="F42" s="87"/>
      <c r="G42" s="182">
        <v>45689</v>
      </c>
      <c r="H42" s="204" t="str">
        <f>IFERROR(CONCATENATE("AGS015",MID(Tabla2[[#This Row],[ALUMNO]],1,2),MID(Tabla2[[#This Row],[ALUMNO]],FIND(" ",Tabla2[[#This Row],[ALUMNO]],1)+1,2)),"Aguas")</f>
        <v>AGS015MaJo</v>
      </c>
      <c r="I42" s="7" t="s">
        <v>455</v>
      </c>
      <c r="J42" s="7">
        <f ca="1">IFERROR(YEAR(TODAY())-Tabla2[[#This Row],[año]],"")</f>
        <v>18</v>
      </c>
      <c r="K42" s="44" t="s">
        <v>145</v>
      </c>
      <c r="L42" s="9" t="s">
        <v>57</v>
      </c>
      <c r="M42" s="9"/>
      <c r="N42" s="9"/>
      <c r="O42" s="9" t="str">
        <f>IF(Tabla2[[#This Row],[MÉTODO]]="Yamaha","Royalty","")</f>
        <v/>
      </c>
      <c r="P42" s="9"/>
      <c r="Q42" s="9"/>
      <c r="R42" s="113" t="s">
        <v>609</v>
      </c>
      <c r="S42" s="11">
        <v>0.70833333333333337</v>
      </c>
      <c r="T42" s="113" t="s">
        <v>334</v>
      </c>
      <c r="U42" s="113"/>
      <c r="V42" s="113">
        <v>50</v>
      </c>
      <c r="W42" s="142"/>
      <c r="X42" s="29" t="s">
        <v>456</v>
      </c>
      <c r="Y42" s="145" t="s">
        <v>457</v>
      </c>
      <c r="Z42" s="145" t="s">
        <v>458</v>
      </c>
      <c r="AA42" s="145" t="s">
        <v>459</v>
      </c>
      <c r="AB42" s="28"/>
      <c r="AC42" s="6">
        <v>39448</v>
      </c>
      <c r="AD42" s="147">
        <f>IF(YEAR(Tabla2[[#This Row],[FECHA DE NACIMIENTO DEL ALUMNO]])&lt;&gt;1900,YEAR(Tabla2[[#This Row],[FECHA DE NACIMIENTO DEL ALUMNO]]),"")</f>
        <v>2008</v>
      </c>
      <c r="AE42" s="18"/>
      <c r="AF42" s="9"/>
      <c r="AG42" s="153"/>
      <c r="AH42" s="71">
        <v>626</v>
      </c>
      <c r="AI42" s="73"/>
      <c r="AJ42" s="53"/>
      <c r="AK42" s="71">
        <v>656</v>
      </c>
      <c r="AL42" s="236">
        <f>IF(Tabla2[[#This Row],[RECIBO ACTUAL]]=0,0,_xlfn.XLOOKUP(CONCATENATE(Tabla2[[#This Row],[CLASE]],Tabla2[[#This Row],[DURACIÓN]]),DevelupeMode!$P$4:$P$10,DevelupeMode!$Q$4:$Q$10,0))</f>
        <v>1100</v>
      </c>
      <c r="AM42" s="21" t="s">
        <v>56</v>
      </c>
      <c r="AN42" s="22"/>
      <c r="AO42">
        <f>_xlfn.XLOOKUP(Tabla2[[#This Row],[CURSO]],DevelupeMode!$T$4:$T$11,DevelupeMode!$U$4:$U$11,AO41+1)</f>
        <v>10</v>
      </c>
      <c r="AP42" s="81"/>
    </row>
    <row r="43" spans="2:42" ht="15" hidden="1" customHeight="1" x14ac:dyDescent="0.25">
      <c r="B43" s="206"/>
      <c r="C43" s="205">
        <f>IFERROR(IF(Tabla2[[#This Row],[Status]]="",0,IF(LEFT(Tabla2[[#This Row],[Status]],4)="Baja",C42,C42+1)),1)</f>
        <v>3</v>
      </c>
      <c r="D43" s="87" t="s">
        <v>148</v>
      </c>
      <c r="E43" s="88" t="str">
        <f>IF(AND(Tabla2[[#This Row],[RECIBO ACTUAL]]="",Tabla2[[#This Row],[Status]]="Activo"),"paguenmelaren","")</f>
        <v/>
      </c>
      <c r="F43" s="87"/>
      <c r="G43" s="182">
        <v>45436</v>
      </c>
      <c r="H43" s="204" t="str">
        <f>IFERROR(CONCATENATE("AGS015",MID(Tabla2[[#This Row],[ALUMNO]],1,2),MID(Tabla2[[#This Row],[ALUMNO]],FIND(" ",Tabla2[[#This Row],[ALUMNO]],1)+1,2)),"Aguas")</f>
        <v>AGS015MaJo</v>
      </c>
      <c r="I43" s="7" t="s">
        <v>165</v>
      </c>
      <c r="J43" s="7">
        <f ca="1">IFERROR(YEAR(TODAY())-Tabla2[[#This Row],[año]],"")</f>
        <v>10</v>
      </c>
      <c r="K43" s="36" t="s">
        <v>41</v>
      </c>
      <c r="L43" s="9" t="s">
        <v>42</v>
      </c>
      <c r="M43" s="9">
        <v>10</v>
      </c>
      <c r="N43" s="24" t="s">
        <v>24</v>
      </c>
      <c r="O43" s="9"/>
      <c r="P43" s="9"/>
      <c r="Q43" s="9"/>
      <c r="R43" s="113" t="s">
        <v>35</v>
      </c>
      <c r="S43" s="11">
        <v>0.5</v>
      </c>
      <c r="T43" s="113" t="s">
        <v>334</v>
      </c>
      <c r="U43" s="113"/>
      <c r="V43" s="113">
        <v>50</v>
      </c>
      <c r="W43" s="142">
        <v>4493244806</v>
      </c>
      <c r="X43" s="12" t="s">
        <v>43</v>
      </c>
      <c r="Y43" s="142" t="s">
        <v>347</v>
      </c>
      <c r="Z43" s="142"/>
      <c r="AA43" s="142"/>
      <c r="AB43" s="13" t="s">
        <v>44</v>
      </c>
      <c r="AC43" s="25">
        <v>42461</v>
      </c>
      <c r="AD43" s="147">
        <f>IF(YEAR(Tabla2[[#This Row],[FECHA DE NACIMIENTO DEL ALUMNO]])&lt;&gt;1900,YEAR(Tabla2[[#This Row],[FECHA DE NACIMIENTO DEL ALUMNO]]),"")</f>
        <v>2016</v>
      </c>
      <c r="AE43" s="14"/>
      <c r="AF43" s="15"/>
      <c r="AG43" s="152"/>
      <c r="AH43" s="71"/>
      <c r="AI43" s="73"/>
      <c r="AJ43" s="19"/>
      <c r="AK43" s="71"/>
      <c r="AL43" s="236">
        <f>IF(Tabla2[[#This Row],[RECIBO ACTUAL]]=0,0,_xlfn.XLOOKUP(CONCATENATE(Tabla2[[#This Row],[CLASE]],Tabla2[[#This Row],[DURACIÓN]]),DevelupeMode!$P$4:$P$10,DevelupeMode!$Q$4:$Q$10,0))</f>
        <v>0</v>
      </c>
      <c r="AM43" s="21"/>
      <c r="AN43" s="22"/>
      <c r="AO43">
        <f>_xlfn.XLOOKUP(Tabla2[[#This Row],[CURSO]],DevelupeMode!$T$4:$T$11,DevelupeMode!$U$4:$U$11,AO42+1)</f>
        <v>4</v>
      </c>
    </row>
    <row r="44" spans="2:42" ht="15" customHeight="1" x14ac:dyDescent="0.25">
      <c r="B44" s="216"/>
      <c r="C44" s="280">
        <f>IFERROR(IF(Tabla2[[#This Row],[Status]]="",0,IF(LEFT(Tabla2[[#This Row],[Status]],4)="Baja",C43,C43+1)),1)</f>
        <v>4</v>
      </c>
      <c r="D44" s="261" t="s">
        <v>19</v>
      </c>
      <c r="E44" s="88" t="str">
        <f>IF(AND(Tabla2[[#This Row],[RECIBO ACTUAL]]="",Tabla2[[#This Row],[Status]]="Activo"),"paguenmelaren","")</f>
        <v/>
      </c>
      <c r="F44" s="87" t="s">
        <v>601</v>
      </c>
      <c r="G44" s="262">
        <v>46093</v>
      </c>
      <c r="H44" s="204" t="str">
        <f>IFERROR(CONCATENATE("AGS015",MID(Tabla2[[#This Row],[ALUMNO]],1,2),MID(Tabla2[[#This Row],[ALUMNO]],FIND(" ",Tabla2[[#This Row],[ALUMNO]],1)+1,2)),"Aguas")</f>
        <v>AGS015AlEs</v>
      </c>
      <c r="I44" s="263" t="s">
        <v>622</v>
      </c>
      <c r="J44" s="104">
        <f ca="1">IFERROR(YEAR(TODAY())-Tabla2[[#This Row],[año]],"")</f>
        <v>13</v>
      </c>
      <c r="K44" s="277" t="s">
        <v>145</v>
      </c>
      <c r="L44" s="265" t="s">
        <v>57</v>
      </c>
      <c r="M44" s="23"/>
      <c r="N44" s="23"/>
      <c r="O44" s="23" t="str">
        <f>IF(Tabla2[[#This Row],[MÉTODO]]="Yamaha","Royalty","")</f>
        <v/>
      </c>
      <c r="P44" s="84"/>
      <c r="Q44" s="84"/>
      <c r="R44" s="266" t="s">
        <v>609</v>
      </c>
      <c r="S44" s="278">
        <v>0.75</v>
      </c>
      <c r="T44" s="279" t="s">
        <v>334</v>
      </c>
      <c r="U44" s="84"/>
      <c r="V44" s="266">
        <v>50</v>
      </c>
      <c r="W44" s="267" t="s">
        <v>623</v>
      </c>
      <c r="X44" s="50"/>
      <c r="Y44" s="84"/>
      <c r="Z44" s="84"/>
      <c r="AA44" s="84"/>
      <c r="AB44" s="51"/>
      <c r="AC44" s="268">
        <v>41275</v>
      </c>
      <c r="AD44" s="52">
        <f>IF(YEAR(Tabla2[[#This Row],[FECHA DE NACIMIENTO DEL ALUMNO]])&lt;&gt;1900,YEAR(Tabla2[[#This Row],[FECHA DE NACIMIENTO DEL ALUMNO]]),"")</f>
        <v>2013</v>
      </c>
      <c r="AE44" s="84"/>
      <c r="AF44" s="23"/>
      <c r="AG44" s="18"/>
      <c r="AH44" s="42"/>
      <c r="AI44" s="73"/>
      <c r="AJ44" s="23"/>
      <c r="AK44" s="71">
        <v>667</v>
      </c>
      <c r="AL44" s="236">
        <f>IF(Tabla2[[#This Row],[RECIBO ACTUAL]]=0,0,_xlfn.XLOOKUP(CONCATENATE(Tabla2[[#This Row],[CLASE]],Tabla2[[#This Row],[DURACIÓN]]),DevelupeMode!$P$4:$P$10,DevelupeMode!$Q$4:$Q$10,0))</f>
        <v>1100</v>
      </c>
      <c r="AM44" s="21" t="s">
        <v>56</v>
      </c>
      <c r="AN44" s="22"/>
      <c r="AO44">
        <f>_xlfn.XLOOKUP(Tabla2[[#This Row],[CURSO]],DevelupeMode!$T$4:$T$11,DevelupeMode!$U$4:$U$11,AO43+1)</f>
        <v>10</v>
      </c>
      <c r="AP44" s="81"/>
    </row>
    <row r="45" spans="2:42" ht="15" hidden="1" customHeight="1" x14ac:dyDescent="0.25">
      <c r="B45" s="206"/>
      <c r="C45" s="205">
        <f>IFERROR(IF(Tabla2[[#This Row],[Status]]="",0,IF(LEFT(Tabla2[[#This Row],[Status]],4)="Baja",C44,C44+1)),1)</f>
        <v>4</v>
      </c>
      <c r="D45" s="87" t="s">
        <v>148</v>
      </c>
      <c r="E45" s="87" t="str">
        <f>IF(AND(Tabla2[[#This Row],[RECIBO ACTUAL]]="",Tabla2[[#This Row],[Status]]="Activo"),"paguenmelaren","")</f>
        <v/>
      </c>
      <c r="F45" s="87"/>
      <c r="G45" s="182">
        <v>45351</v>
      </c>
      <c r="H45" s="204" t="str">
        <f>IFERROR(CONCATENATE("AGS015",MID(Tabla2[[#This Row],[ALUMNO]],1,2),MID(Tabla2[[#This Row],[ALUMNO]],FIND(" ",Tabla2[[#This Row],[ALUMNO]],1)+1,2)),"Aguas")</f>
        <v>AGS015JiGa</v>
      </c>
      <c r="I45" s="7" t="s">
        <v>150</v>
      </c>
      <c r="J45" s="7">
        <f ca="1">IFERROR(YEAR(TODAY())-Tabla2[[#This Row],[año]],"")</f>
        <v>14</v>
      </c>
      <c r="K45" s="36" t="s">
        <v>41</v>
      </c>
      <c r="L45" s="9" t="s">
        <v>42</v>
      </c>
      <c r="M45" s="9">
        <v>10</v>
      </c>
      <c r="N45" s="24" t="s">
        <v>24</v>
      </c>
      <c r="O45" s="9"/>
      <c r="P45" s="9"/>
      <c r="Q45" s="9"/>
      <c r="R45" s="113" t="s">
        <v>35</v>
      </c>
      <c r="S45" s="11">
        <v>0.54166666666666663</v>
      </c>
      <c r="T45" s="113" t="s">
        <v>334</v>
      </c>
      <c r="U45" s="113"/>
      <c r="V45" s="113">
        <v>50</v>
      </c>
      <c r="W45" s="142"/>
      <c r="X45" s="38" t="s">
        <v>321</v>
      </c>
      <c r="Y45" s="145">
        <v>4491236613</v>
      </c>
      <c r="Z45" s="145" t="s">
        <v>322</v>
      </c>
      <c r="AA45" s="145">
        <v>4491566172</v>
      </c>
      <c r="AB45" s="13" t="s">
        <v>45</v>
      </c>
      <c r="AC45" s="25">
        <v>40989</v>
      </c>
      <c r="AD45" s="147">
        <f>IF(YEAR(Tabla2[[#This Row],[FECHA DE NACIMIENTO DEL ALUMNO]])&lt;&gt;1900,YEAR(Tabla2[[#This Row],[FECHA DE NACIMIENTO DEL ALUMNO]]),"")</f>
        <v>2012</v>
      </c>
      <c r="AE45" s="14"/>
      <c r="AF45" s="40"/>
      <c r="AG45" s="152"/>
      <c r="AH45" s="37"/>
      <c r="AI45" s="20"/>
      <c r="AJ45" s="19"/>
      <c r="AK45" s="37"/>
      <c r="AL45" s="236">
        <f>IF(Tabla2[[#This Row],[RECIBO ACTUAL]]=0,0,_xlfn.XLOOKUP(CONCATENATE(Tabla2[[#This Row],[CLASE]],Tabla2[[#This Row],[DURACIÓN]]),DevelupeMode!$P$4:$P$10,DevelupeMode!$Q$4:$Q$10,0))</f>
        <v>0</v>
      </c>
      <c r="AM45" s="21"/>
      <c r="AN45" s="22"/>
      <c r="AO45">
        <f>_xlfn.XLOOKUP(Tabla2[[#This Row],[CURSO]],DevelupeMode!$T$4:$T$11,DevelupeMode!$U$4:$U$11,AO44+1)</f>
        <v>4</v>
      </c>
    </row>
    <row r="46" spans="2:42" ht="15" hidden="1" customHeight="1" x14ac:dyDescent="0.25">
      <c r="B46" s="206"/>
      <c r="C46" s="205">
        <f>IFERROR(IF(Tabla2[[#This Row],[Status]]="",0,IF(LEFT(Tabla2[[#This Row],[Status]],4)="Baja",C45,C45+1)),1)</f>
        <v>4</v>
      </c>
      <c r="D46" s="87" t="s">
        <v>148</v>
      </c>
      <c r="E46" s="87" t="str">
        <f>IF(AND(Tabla2[[#This Row],[RECIBO ACTUAL]]="",Tabla2[[#This Row],[Status]]="Activo"),"paguenmelaren","")</f>
        <v/>
      </c>
      <c r="F46" s="87"/>
      <c r="G46" s="182">
        <v>45718</v>
      </c>
      <c r="H46" s="204" t="str">
        <f>IFERROR(CONCATENATE("AGS015",MID(Tabla2[[#This Row],[ALUMNO]],1,2),MID(Tabla2[[#This Row],[ALUMNO]],FIND(" ",Tabla2[[#This Row],[ALUMNO]],1)+1,2)),"Aguas")</f>
        <v>AGS015AnWa</v>
      </c>
      <c r="I46" s="7" t="s">
        <v>479</v>
      </c>
      <c r="J46" s="7">
        <f ca="1">IFERROR(YEAR(TODAY())-Tabla2[[#This Row],[año]],"")</f>
        <v>26</v>
      </c>
      <c r="K46" s="36" t="s">
        <v>41</v>
      </c>
      <c r="L46" s="9" t="s">
        <v>42</v>
      </c>
      <c r="M46" s="9">
        <v>10</v>
      </c>
      <c r="N46" s="24" t="s">
        <v>24</v>
      </c>
      <c r="O46" s="9"/>
      <c r="P46" s="9"/>
      <c r="Q46" s="9"/>
      <c r="R46" s="113" t="s">
        <v>35</v>
      </c>
      <c r="S46" s="11">
        <v>0.54166666666666663</v>
      </c>
      <c r="T46" s="113" t="s">
        <v>334</v>
      </c>
      <c r="U46" s="113"/>
      <c r="V46" s="113">
        <v>50</v>
      </c>
      <c r="W46" s="142" t="s">
        <v>480</v>
      </c>
      <c r="X46" s="29"/>
      <c r="Y46" s="142"/>
      <c r="Z46" s="142"/>
      <c r="AA46" s="142"/>
      <c r="AB46" s="30"/>
      <c r="AC46" s="6">
        <v>36526</v>
      </c>
      <c r="AD46" s="147">
        <f>IF(YEAR(Tabla2[[#This Row],[FECHA DE NACIMIENTO DEL ALUMNO]])&lt;&gt;1900,YEAR(Tabla2[[#This Row],[FECHA DE NACIMIENTO DEL ALUMNO]]),"")</f>
        <v>2000</v>
      </c>
      <c r="AE46" s="20"/>
      <c r="AF46" s="9"/>
      <c r="AG46" s="20"/>
      <c r="AH46" s="17"/>
      <c r="AI46" s="20"/>
      <c r="AJ46" s="9"/>
      <c r="AK46" s="17"/>
      <c r="AL46" s="236">
        <f>IF(Tabla2[[#This Row],[RECIBO ACTUAL]]=0,0,_xlfn.XLOOKUP(CONCATENATE(Tabla2[[#This Row],[CLASE]],Tabla2[[#This Row],[DURACIÓN]]),DevelupeMode!$P$4:$P$10,DevelupeMode!$Q$4:$Q$10,0))</f>
        <v>0</v>
      </c>
      <c r="AM46" s="9"/>
      <c r="AN46" s="22"/>
      <c r="AO46">
        <f>_xlfn.XLOOKUP(Tabla2[[#This Row],[CURSO]],DevelupeMode!$T$4:$T$11,DevelupeMode!$U$4:$U$11,AO45+1)</f>
        <v>4</v>
      </c>
    </row>
    <row r="47" spans="2:42" ht="15" hidden="1" customHeight="1" x14ac:dyDescent="0.25">
      <c r="B47" s="206"/>
      <c r="C47" s="205">
        <f>IFERROR(IF(Tabla2[[#This Row],[Status]]="",0,IF(LEFT(Tabla2[[#This Row],[Status]],4)="Baja",C46,C46+1)),1)</f>
        <v>4</v>
      </c>
      <c r="D47" s="87" t="s">
        <v>376</v>
      </c>
      <c r="E47" s="87" t="str">
        <f>IF(AND(Tabla2[[#This Row],[RECIBO ACTUAL]]="",Tabla2[[#This Row],[Status]]="Activo"),"paguenmelaren","")</f>
        <v/>
      </c>
      <c r="F47" s="87"/>
      <c r="G47" s="182">
        <v>45385</v>
      </c>
      <c r="H47" s="204" t="str">
        <f>IFERROR(CONCATENATE("AGS015",MID(Tabla2[[#This Row],[ALUMNO]],1,2),MID(Tabla2[[#This Row],[ALUMNO]],FIND(" ",Tabla2[[#This Row],[ALUMNO]],1)+1,2)),"Aguas")</f>
        <v>AGS015JuCé</v>
      </c>
      <c r="I47" s="7" t="s">
        <v>240</v>
      </c>
      <c r="J47" s="7">
        <f ca="1">IFERROR(YEAR(TODAY())-Tabla2[[#This Row],[año]],"")</f>
        <v>43</v>
      </c>
      <c r="K47" s="24" t="s">
        <v>41</v>
      </c>
      <c r="L47" s="24" t="s">
        <v>42</v>
      </c>
      <c r="M47" s="24"/>
      <c r="N47" s="24"/>
      <c r="O47" s="24" t="str">
        <f>IF(Tabla2[[#This Row],[MÉTODO]]="Yamaha","Royalty","")</f>
        <v/>
      </c>
      <c r="P47" s="24"/>
      <c r="Q47" s="24"/>
      <c r="R47" s="113" t="s">
        <v>35</v>
      </c>
      <c r="S47" s="58">
        <v>0.57291666666666663</v>
      </c>
      <c r="T47" s="24" t="s">
        <v>113</v>
      </c>
      <c r="U47" s="24"/>
      <c r="V47" s="24">
        <v>45</v>
      </c>
      <c r="W47" s="24" t="s">
        <v>54</v>
      </c>
      <c r="X47" s="62" t="s">
        <v>22</v>
      </c>
      <c r="Y47" s="24"/>
      <c r="Z47" s="24"/>
      <c r="AA47" s="24"/>
      <c r="AB47" s="60" t="s">
        <v>55</v>
      </c>
      <c r="AC47" s="43">
        <v>30637</v>
      </c>
      <c r="AD47" s="147">
        <f>IF(YEAR(Tabla2[[#This Row],[FECHA DE NACIMIENTO DEL ALUMNO]])&lt;&gt;1900,YEAR(Tabla2[[#This Row],[FECHA DE NACIMIENTO DEL ALUMNO]]),"")</f>
        <v>1983</v>
      </c>
      <c r="AE47" s="59"/>
      <c r="AF47" s="61"/>
      <c r="AG47" s="59"/>
      <c r="AH47" s="17"/>
      <c r="AI47" s="59"/>
      <c r="AJ47" s="24"/>
      <c r="AK47" s="17"/>
      <c r="AL47" s="236">
        <f>IF(Tabla2[[#This Row],[RECIBO ACTUAL]]=0,0,_xlfn.XLOOKUP(CONCATENATE(Tabla2[[#This Row],[CLASE]],Tabla2[[#This Row],[DURACIÓN]]),DevelupeMode!$P$4:$P$10,DevelupeMode!$Q$4:$Q$10,0))</f>
        <v>0</v>
      </c>
      <c r="AM47" s="24"/>
      <c r="AN47" s="43"/>
      <c r="AO47">
        <f>_xlfn.XLOOKUP(Tabla2[[#This Row],[CURSO]],DevelupeMode!$T$4:$T$11,DevelupeMode!$U$4:$U$11,AO46+1)</f>
        <v>4</v>
      </c>
    </row>
    <row r="48" spans="2:42" ht="15" hidden="1" customHeight="1" x14ac:dyDescent="0.25">
      <c r="B48" s="206"/>
      <c r="C48" s="205">
        <f>IFERROR(IF(Tabla2[[#This Row],[Status]]="",0,IF(LEFT(Tabla2[[#This Row],[Status]],4)="Baja",C47,C47+1)),1)</f>
        <v>4</v>
      </c>
      <c r="D48" s="87" t="s">
        <v>376</v>
      </c>
      <c r="E48" s="87" t="str">
        <f>IF(AND(Tabla2[[#This Row],[RECIBO ACTUAL]]="",Tabla2[[#This Row],[Status]]="Activo"),"paguenmelaren","")</f>
        <v/>
      </c>
      <c r="F48" s="87"/>
      <c r="G48" s="182">
        <v>45374</v>
      </c>
      <c r="H48" s="204" t="str">
        <f>IFERROR(CONCATENATE("AGS015",MID(Tabla2[[#This Row],[ALUMNO]],1,2),MID(Tabla2[[#This Row],[ALUMNO]],FIND(" ",Tabla2[[#This Row],[ALUMNO]],1)+1,2)),"Aguas")</f>
        <v>AGS015PaDa</v>
      </c>
      <c r="I48" s="7" t="s">
        <v>168</v>
      </c>
      <c r="J48" s="7">
        <f ca="1">IFERROR(YEAR(TODAY())-Tabla2[[#This Row],[año]],"")</f>
        <v>11</v>
      </c>
      <c r="K48" s="36" t="s">
        <v>41</v>
      </c>
      <c r="L48" s="9" t="s">
        <v>42</v>
      </c>
      <c r="M48" s="9"/>
      <c r="N48" s="9"/>
      <c r="O48" s="9" t="str">
        <f>IF(Tabla2[[#This Row],[MÉTODO]]="Yamaha","Royalty","")</f>
        <v/>
      </c>
      <c r="P48" s="9"/>
      <c r="Q48" s="9"/>
      <c r="R48" s="113" t="s">
        <v>35</v>
      </c>
      <c r="S48" s="11">
        <v>0.58333333333333337</v>
      </c>
      <c r="T48" s="113" t="s">
        <v>113</v>
      </c>
      <c r="U48" s="113"/>
      <c r="V48" s="113">
        <v>30</v>
      </c>
      <c r="W48" s="142"/>
      <c r="X48" s="29" t="s">
        <v>325</v>
      </c>
      <c r="Y48" s="142">
        <v>4491780561</v>
      </c>
      <c r="Z48" s="142" t="s">
        <v>326</v>
      </c>
      <c r="AA48" s="142"/>
      <c r="AB48" s="30"/>
      <c r="AC48" s="6">
        <v>42019</v>
      </c>
      <c r="AD48" s="147">
        <f>IF(YEAR(Tabla2[[#This Row],[FECHA DE NACIMIENTO DEL ALUMNO]])&lt;&gt;1900,YEAR(Tabla2[[#This Row],[FECHA DE NACIMIENTO DEL ALUMNO]]),"")</f>
        <v>2015</v>
      </c>
      <c r="AE48" s="20">
        <v>600</v>
      </c>
      <c r="AF48" s="9" t="s">
        <v>114</v>
      </c>
      <c r="AG48" s="20"/>
      <c r="AH48" s="17"/>
      <c r="AI48" s="20"/>
      <c r="AJ48" s="9"/>
      <c r="AK48" s="17"/>
      <c r="AL48" s="236">
        <f>IF(Tabla2[[#This Row],[RECIBO ACTUAL]]=0,0,_xlfn.XLOOKUP(CONCATENATE(Tabla2[[#This Row],[CLASE]],Tabla2[[#This Row],[DURACIÓN]]),DevelupeMode!$P$4:$P$10,DevelupeMode!$Q$4:$Q$10,0))</f>
        <v>0</v>
      </c>
      <c r="AM48" s="22"/>
      <c r="AN48" s="9"/>
      <c r="AO48">
        <f>_xlfn.XLOOKUP(Tabla2[[#This Row],[CURSO]],DevelupeMode!$T$4:$T$11,DevelupeMode!$U$4:$U$11,AO47+1)</f>
        <v>4</v>
      </c>
    </row>
    <row r="49" spans="2:42" ht="15" hidden="1" customHeight="1" x14ac:dyDescent="0.25">
      <c r="B49" s="206"/>
      <c r="C49" s="205">
        <f>IFERROR(IF(Tabla2[[#This Row],[Status]]="",0,IF(LEFT(Tabla2[[#This Row],[Status]],4)="Baja",C48,C48+1)),1)</f>
        <v>4</v>
      </c>
      <c r="D49" s="87" t="s">
        <v>148</v>
      </c>
      <c r="E49" s="87" t="str">
        <f>IF(AND(Tabla2[[#This Row],[RECIBO ACTUAL]]="",Tabla2[[#This Row],[Status]]="Activo"),"paguenmelaren","")</f>
        <v/>
      </c>
      <c r="F49" s="87"/>
      <c r="G49" s="182">
        <v>45353</v>
      </c>
      <c r="H49" s="204" t="str">
        <f>IFERROR(CONCATENATE("AGS015",MID(Tabla2[[#This Row],[ALUMNO]],1,2),MID(Tabla2[[#This Row],[ALUMNO]],FIND(" ",Tabla2[[#This Row],[ALUMNO]],1)+1,2)),"Aguas")</f>
        <v>AGS015CaGu</v>
      </c>
      <c r="I49" s="7" t="s">
        <v>245</v>
      </c>
      <c r="J49" s="7">
        <f ca="1">IFERROR(YEAR(TODAY())-Tabla2[[#This Row],[año]],"")</f>
        <v>15</v>
      </c>
      <c r="K49" s="36" t="s">
        <v>41</v>
      </c>
      <c r="L49" s="9" t="s">
        <v>42</v>
      </c>
      <c r="M49" s="9">
        <v>10</v>
      </c>
      <c r="N49" s="24" t="s">
        <v>24</v>
      </c>
      <c r="O49" s="9"/>
      <c r="P49" s="9"/>
      <c r="Q49" s="9"/>
      <c r="R49" s="113" t="s">
        <v>35</v>
      </c>
      <c r="S49" s="11">
        <v>0.54166666666666663</v>
      </c>
      <c r="T49" s="113" t="s">
        <v>334</v>
      </c>
      <c r="U49" s="113"/>
      <c r="V49" s="113">
        <v>50</v>
      </c>
      <c r="W49" s="142">
        <v>4961327000</v>
      </c>
      <c r="X49" s="65" t="s">
        <v>323</v>
      </c>
      <c r="Y49" s="142">
        <v>4961327000</v>
      </c>
      <c r="Z49" s="142" t="s">
        <v>324</v>
      </c>
      <c r="AA49" s="142"/>
      <c r="AB49" s="28"/>
      <c r="AC49" s="6">
        <v>40546</v>
      </c>
      <c r="AD49" s="147">
        <f>IF(YEAR(Tabla2[[#This Row],[FECHA DE NACIMIENTO DEL ALUMNO]])&lt;&gt;1900,YEAR(Tabla2[[#This Row],[FECHA DE NACIMIENTO DEL ALUMNO]]),"")</f>
        <v>2011</v>
      </c>
      <c r="AE49" s="20"/>
      <c r="AF49" s="41"/>
      <c r="AG49" s="153"/>
      <c r="AH49" s="17"/>
      <c r="AI49" s="20"/>
      <c r="AJ49" s="9"/>
      <c r="AK49" s="17"/>
      <c r="AL49" s="236">
        <f>IF(Tabla2[[#This Row],[RECIBO ACTUAL]]=0,0,_xlfn.XLOOKUP(CONCATENATE(Tabla2[[#This Row],[CLASE]],Tabla2[[#This Row],[DURACIÓN]]),DevelupeMode!$P$4:$P$10,DevelupeMode!$Q$4:$Q$10,0))</f>
        <v>0</v>
      </c>
      <c r="AM49" s="9"/>
      <c r="AN49" s="22"/>
      <c r="AO49">
        <f>_xlfn.XLOOKUP(Tabla2[[#This Row],[CURSO]],DevelupeMode!$T$4:$T$11,DevelupeMode!$U$4:$U$11,AO48+1)</f>
        <v>4</v>
      </c>
    </row>
    <row r="50" spans="2:42" ht="15" hidden="1" customHeight="1" x14ac:dyDescent="0.25">
      <c r="B50" s="206"/>
      <c r="C50" s="205">
        <f>IFERROR(IF(Tabla2[[#This Row],[Status]]="",0,IF(LEFT(Tabla2[[#This Row],[Status]],4)="Baja",C49,C49+1)),1)</f>
        <v>4</v>
      </c>
      <c r="D50" s="87" t="s">
        <v>148</v>
      </c>
      <c r="E50" s="87" t="str">
        <f>IF(AND(Tabla2[[#This Row],[RECIBO ACTUAL]]="",Tabla2[[#This Row],[Status]]="Activo"),"paguenmelaren","")</f>
        <v/>
      </c>
      <c r="F50" s="87"/>
      <c r="G50" s="182">
        <v>45658</v>
      </c>
      <c r="H50" s="204" t="str">
        <f>IFERROR(CONCATENATE("AGS015",MID(Tabla2[[#This Row],[ALUMNO]],1,2),MID(Tabla2[[#This Row],[ALUMNO]],FIND(" ",Tabla2[[#This Row],[ALUMNO]],1)+1,2)),"Aguas")</f>
        <v>AGS015AmFe</v>
      </c>
      <c r="I50" s="7" t="s">
        <v>471</v>
      </c>
      <c r="J50" s="7">
        <f ca="1">IFERROR(YEAR(TODAY())-Tabla2[[#This Row],[año]],"")</f>
        <v>22</v>
      </c>
      <c r="K50" s="36" t="s">
        <v>41</v>
      </c>
      <c r="L50" s="9" t="s">
        <v>42</v>
      </c>
      <c r="M50" s="9">
        <v>10</v>
      </c>
      <c r="N50" s="24" t="s">
        <v>24</v>
      </c>
      <c r="O50" s="9"/>
      <c r="P50" s="9"/>
      <c r="Q50" s="9"/>
      <c r="R50" s="113" t="s">
        <v>35</v>
      </c>
      <c r="S50" s="11">
        <v>0.58333333333333337</v>
      </c>
      <c r="T50" s="113" t="s">
        <v>334</v>
      </c>
      <c r="U50" s="113"/>
      <c r="V50" s="113">
        <v>50</v>
      </c>
      <c r="W50" s="142">
        <v>4493487929</v>
      </c>
      <c r="X50" s="29"/>
      <c r="Y50" s="142"/>
      <c r="Z50" s="142"/>
      <c r="AA50" s="142"/>
      <c r="AB50" s="30"/>
      <c r="AC50" s="6">
        <v>37987</v>
      </c>
      <c r="AD50" s="147">
        <f>IF(YEAR(Tabla2[[#This Row],[FECHA DE NACIMIENTO DEL ALUMNO]])&lt;&gt;1900,YEAR(Tabla2[[#This Row],[FECHA DE NACIMIENTO DEL ALUMNO]]),"")</f>
        <v>2004</v>
      </c>
      <c r="AE50" s="20"/>
      <c r="AF50" s="9"/>
      <c r="AG50" s="21"/>
      <c r="AH50" s="71"/>
      <c r="AI50" s="73"/>
      <c r="AJ50" s="9"/>
      <c r="AK50" s="71"/>
      <c r="AL50" s="236">
        <f>IF(Tabla2[[#This Row],[RECIBO ACTUAL]]=0,0,_xlfn.XLOOKUP(CONCATENATE(Tabla2[[#This Row],[CLASE]],Tabla2[[#This Row],[DURACIÓN]]),DevelupeMode!$P$4:$P$10,DevelupeMode!$Q$4:$Q$10,0))</f>
        <v>0</v>
      </c>
      <c r="AM50" s="21"/>
      <c r="AN50" s="9"/>
      <c r="AO50">
        <f>_xlfn.XLOOKUP(Tabla2[[#This Row],[CURSO]],DevelupeMode!$T$4:$T$11,DevelupeMode!$U$4:$U$11,AO49+1)</f>
        <v>4</v>
      </c>
    </row>
    <row r="51" spans="2:42" ht="15" hidden="1" customHeight="1" x14ac:dyDescent="0.25">
      <c r="B51" s="206"/>
      <c r="C51" s="205">
        <f>IFERROR(IF(Tabla2[[#This Row],[Status]]="",0,IF(LEFT(Tabla2[[#This Row],[Status]],4)="Baja",C50,C50+1)),1)</f>
        <v>4</v>
      </c>
      <c r="D51" s="87" t="s">
        <v>148</v>
      </c>
      <c r="E51" s="87" t="str">
        <f>IF(AND(Tabla2[[#This Row],[RECIBO ACTUAL]]="",Tabla2[[#This Row],[Status]]="Activo"),"paguenmelaren","")</f>
        <v/>
      </c>
      <c r="F51" s="87"/>
      <c r="G51" s="182">
        <v>45620</v>
      </c>
      <c r="H51" s="204" t="str">
        <f>IFERROR(CONCATENATE("AGS015",MID(Tabla2[[#This Row],[ALUMNO]],1,2),MID(Tabla2[[#This Row],[ALUMNO]],FIND(" ",Tabla2[[#This Row],[ALUMNO]],1)+1,2)),"Aguas")</f>
        <v>AGS015Alra</v>
      </c>
      <c r="I51" s="7" t="s">
        <v>472</v>
      </c>
      <c r="J51" s="7">
        <f ca="1">IFERROR(YEAR(TODAY())-Tabla2[[#This Row],[año]],"")</f>
        <v>22</v>
      </c>
      <c r="K51" s="36" t="s">
        <v>41</v>
      </c>
      <c r="L51" s="9" t="s">
        <v>42</v>
      </c>
      <c r="M51" s="9">
        <v>10</v>
      </c>
      <c r="N51" s="24" t="s">
        <v>24</v>
      </c>
      <c r="O51" s="9"/>
      <c r="P51" s="9"/>
      <c r="Q51" s="9"/>
      <c r="R51" s="113" t="s">
        <v>35</v>
      </c>
      <c r="S51" s="11">
        <v>0.58333333333333337</v>
      </c>
      <c r="T51" s="113" t="s">
        <v>334</v>
      </c>
      <c r="U51" s="113"/>
      <c r="V51" s="113">
        <v>50</v>
      </c>
      <c r="W51" s="142">
        <v>4495270949</v>
      </c>
      <c r="X51" s="29"/>
      <c r="Y51" s="142"/>
      <c r="Z51" s="142"/>
      <c r="AA51" s="142"/>
      <c r="AB51" s="30"/>
      <c r="AC51" s="6">
        <v>37987</v>
      </c>
      <c r="AD51" s="147">
        <f>IF(YEAR(Tabla2[[#This Row],[FECHA DE NACIMIENTO DEL ALUMNO]])&lt;&gt;1900,YEAR(Tabla2[[#This Row],[FECHA DE NACIMIENTO DEL ALUMNO]]),"")</f>
        <v>2004</v>
      </c>
      <c r="AE51" s="20"/>
      <c r="AF51" s="9"/>
      <c r="AG51" s="21"/>
      <c r="AH51" s="71"/>
      <c r="AI51" s="73"/>
      <c r="AJ51" s="9"/>
      <c r="AK51" s="71"/>
      <c r="AL51" s="236">
        <f>IF(Tabla2[[#This Row],[RECIBO ACTUAL]]=0,0,_xlfn.XLOOKUP(CONCATENATE(Tabla2[[#This Row],[CLASE]],Tabla2[[#This Row],[DURACIÓN]]),DevelupeMode!$P$4:$P$10,DevelupeMode!$Q$4:$Q$10,0))</f>
        <v>0</v>
      </c>
      <c r="AM51" s="21"/>
      <c r="AN51" s="9"/>
      <c r="AO51">
        <f>_xlfn.XLOOKUP(Tabla2[[#This Row],[CURSO]],DevelupeMode!$T$4:$T$11,DevelupeMode!$U$4:$U$11,AO50+1)</f>
        <v>4</v>
      </c>
    </row>
    <row r="52" spans="2:42" ht="15" hidden="1" customHeight="1" x14ac:dyDescent="0.25">
      <c r="B52" s="206"/>
      <c r="C52" s="205">
        <f>IFERROR(IF(Tabla2[[#This Row],[Status]]="",0,IF(LEFT(Tabla2[[#This Row],[Status]],4)="Baja",C51,C51+1)),1)</f>
        <v>4</v>
      </c>
      <c r="D52" s="87" t="s">
        <v>148</v>
      </c>
      <c r="E52" s="87" t="str">
        <f>IF(AND(Tabla2[[#This Row],[RECIBO ACTUAL]]="",Tabla2[[#This Row],[Status]]="Activo"),"paguenmelaren","")</f>
        <v/>
      </c>
      <c r="F52" s="87"/>
      <c r="G52" s="182">
        <v>45620</v>
      </c>
      <c r="H52" s="204" t="str">
        <f>IFERROR(CONCATENATE("AGS015",MID(Tabla2[[#This Row],[ALUMNO]],1,2),MID(Tabla2[[#This Row],[ALUMNO]],FIND(" ",Tabla2[[#This Row],[ALUMNO]],1)+1,2)),"Aguas")</f>
        <v>AGS015OrRe</v>
      </c>
      <c r="I52" s="7" t="s">
        <v>396</v>
      </c>
      <c r="J52" s="7">
        <f ca="1">IFERROR(YEAR(TODAY())-Tabla2[[#This Row],[año]],"")</f>
        <v>22</v>
      </c>
      <c r="K52" s="36" t="s">
        <v>41</v>
      </c>
      <c r="L52" s="9" t="s">
        <v>42</v>
      </c>
      <c r="M52" s="9">
        <v>10</v>
      </c>
      <c r="N52" s="24" t="s">
        <v>24</v>
      </c>
      <c r="O52" s="9"/>
      <c r="P52" s="9"/>
      <c r="Q52" s="9"/>
      <c r="R52" s="113" t="s">
        <v>35</v>
      </c>
      <c r="S52" s="11">
        <v>0.625</v>
      </c>
      <c r="T52" s="113" t="s">
        <v>113</v>
      </c>
      <c r="U52" s="113"/>
      <c r="V52" s="113">
        <v>30</v>
      </c>
      <c r="W52" s="142"/>
      <c r="X52" s="29"/>
      <c r="Y52" s="142"/>
      <c r="Z52" s="142"/>
      <c r="AA52" s="142"/>
      <c r="AB52" s="30"/>
      <c r="AC52" s="6">
        <v>37987</v>
      </c>
      <c r="AD52" s="147">
        <f>IF(YEAR(Tabla2[[#This Row],[FECHA DE NACIMIENTO DEL ALUMNO]])&lt;&gt;1900,YEAR(Tabla2[[#This Row],[FECHA DE NACIMIENTO DEL ALUMNO]]),"")</f>
        <v>2004</v>
      </c>
      <c r="AE52" s="20"/>
      <c r="AF52" s="9"/>
      <c r="AG52" s="21"/>
      <c r="AH52" s="71"/>
      <c r="AI52" s="73"/>
      <c r="AJ52" s="9"/>
      <c r="AK52" s="71"/>
      <c r="AL52" s="236">
        <f>IF(Tabla2[[#This Row],[RECIBO ACTUAL]]=0,0,_xlfn.XLOOKUP(CONCATENATE(Tabla2[[#This Row],[CLASE]],Tabla2[[#This Row],[DURACIÓN]]),DevelupeMode!$P$4:$P$10,DevelupeMode!$Q$4:$Q$10,0))</f>
        <v>0</v>
      </c>
      <c r="AM52" s="21"/>
      <c r="AN52" s="9"/>
      <c r="AO52">
        <f>_xlfn.XLOOKUP(Tabla2[[#This Row],[CURSO]],DevelupeMode!$T$4:$T$11,DevelupeMode!$U$4:$U$11,AO51+1)</f>
        <v>4</v>
      </c>
    </row>
    <row r="53" spans="2:42" ht="15" hidden="1" customHeight="1" x14ac:dyDescent="0.25">
      <c r="B53" s="206"/>
      <c r="C53" s="205">
        <f>IFERROR(IF(Tabla2[[#This Row],[Status]]="",0,IF(LEFT(Tabla2[[#This Row],[Status]],4)="Baja",C52,C52+1)),1)</f>
        <v>4</v>
      </c>
      <c r="D53" s="87" t="s">
        <v>148</v>
      </c>
      <c r="E53" s="87" t="str">
        <f>IF(AND(Tabla2[[#This Row],[RECIBO ACTUAL]]="",Tabla2[[#This Row],[Status]]="Activo"),"paguenmelaren","")</f>
        <v/>
      </c>
      <c r="F53" s="87"/>
      <c r="G53" s="182">
        <v>45589</v>
      </c>
      <c r="H53" s="204" t="str">
        <f>IFERROR(CONCATENATE("AGS015",MID(Tabla2[[#This Row],[ALUMNO]],1,2),MID(Tabla2[[#This Row],[ALUMNO]],FIND(" ",Tabla2[[#This Row],[ALUMNO]],1)+1,2)),"Aguas")</f>
        <v>AGS015NaHe</v>
      </c>
      <c r="I53" s="7" t="s">
        <v>169</v>
      </c>
      <c r="J53" s="7" t="str">
        <f ca="1">IFERROR(YEAR(TODAY())-Tabla2[[#This Row],[año]],"")</f>
        <v/>
      </c>
      <c r="K53" s="36" t="s">
        <v>41</v>
      </c>
      <c r="L53" s="9" t="s">
        <v>42</v>
      </c>
      <c r="M53" s="9">
        <v>10</v>
      </c>
      <c r="N53" s="24" t="s">
        <v>24</v>
      </c>
      <c r="O53" s="9" t="str">
        <f>IF(Tabla2[[#This Row],[MÉTODO]]="Yamaha","Royalty","")</f>
        <v>Royalty</v>
      </c>
      <c r="P53" s="9"/>
      <c r="Q53" s="9"/>
      <c r="R53" s="113" t="s">
        <v>116</v>
      </c>
      <c r="S53" s="11"/>
      <c r="T53" s="113" t="s">
        <v>48</v>
      </c>
      <c r="U53" s="113"/>
      <c r="V53" s="113">
        <v>60</v>
      </c>
      <c r="W53" s="142"/>
      <c r="X53" s="12" t="s">
        <v>49</v>
      </c>
      <c r="Y53" s="142">
        <v>4046930446</v>
      </c>
      <c r="Z53" s="142"/>
      <c r="AA53" s="142"/>
      <c r="AB53" s="13"/>
      <c r="AC53" s="13"/>
      <c r="AD53" s="147" t="str">
        <f>IF(YEAR(Tabla2[[#This Row],[FECHA DE NACIMIENTO DEL ALUMNO]])&lt;&gt;1900,YEAR(Tabla2[[#This Row],[FECHA DE NACIMIENTO DEL ALUMNO]]),"")</f>
        <v/>
      </c>
      <c r="AE53" s="14"/>
      <c r="AF53" s="15"/>
      <c r="AG53" s="152"/>
      <c r="AH53" s="17"/>
      <c r="AI53" s="20"/>
      <c r="AJ53" s="19"/>
      <c r="AK53" s="17"/>
      <c r="AL53" s="236">
        <f>IF(Tabla2[[#This Row],[RECIBO ACTUAL]]=0,0,_xlfn.XLOOKUP(CONCATENATE(Tabla2[[#This Row],[CLASE]],Tabla2[[#This Row],[DURACIÓN]]),DevelupeMode!$P$4:$P$10,DevelupeMode!$Q$4:$Q$10,0))</f>
        <v>0</v>
      </c>
      <c r="AM53" s="21"/>
      <c r="AN53" s="22"/>
      <c r="AO53">
        <f>_xlfn.XLOOKUP(Tabla2[[#This Row],[CURSO]],DevelupeMode!$T$4:$T$11,DevelupeMode!$U$4:$U$11,AO52+1)</f>
        <v>4</v>
      </c>
    </row>
    <row r="54" spans="2:42" ht="15" hidden="1" customHeight="1" x14ac:dyDescent="0.25">
      <c r="B54" s="206"/>
      <c r="C54" s="205">
        <f>IFERROR(IF(Tabla2[[#This Row],[Status]]="",0,IF(LEFT(Tabla2[[#This Row],[Status]],4)="Baja",C53,C53+1)),1)</f>
        <v>4</v>
      </c>
      <c r="D54" s="87" t="s">
        <v>148</v>
      </c>
      <c r="E54" s="88" t="str">
        <f>IF(AND(Tabla2[[#This Row],[RECIBO ACTUAL]]="",Tabla2[[#This Row],[Status]]="Activo"),"paguenmelaren","")</f>
        <v/>
      </c>
      <c r="F54" s="87"/>
      <c r="G54" s="182">
        <v>45589</v>
      </c>
      <c r="H54" s="204" t="str">
        <f>IFERROR(CONCATENATE("AGS015",MID(Tabla2[[#This Row],[ALUMNO]],1,2),MID(Tabla2[[#This Row],[ALUMNO]],FIND(" ",Tabla2[[#This Row],[ALUMNO]],1)+1,2)),"Aguas")</f>
        <v>AGS015AbDa</v>
      </c>
      <c r="I54" s="7" t="s">
        <v>391</v>
      </c>
      <c r="J54" s="104">
        <f ca="1">IFERROR(YEAR(TODAY())-Tabla2[[#This Row],[año]],"")</f>
        <v>18</v>
      </c>
      <c r="K54" s="94" t="s">
        <v>259</v>
      </c>
      <c r="L54" s="9" t="s">
        <v>42</v>
      </c>
      <c r="M54" s="9"/>
      <c r="N54" s="9"/>
      <c r="O54" s="9" t="str">
        <f>IF(Tabla2[[#This Row],[MÉTODO]]="Yamaha","Royalty","")</f>
        <v/>
      </c>
      <c r="P54" s="9"/>
      <c r="Q54" s="9"/>
      <c r="R54" s="113" t="s">
        <v>96</v>
      </c>
      <c r="S54" s="11">
        <v>0.65625</v>
      </c>
      <c r="T54" s="113" t="s">
        <v>113</v>
      </c>
      <c r="U54" s="113"/>
      <c r="V54" s="112">
        <v>30</v>
      </c>
      <c r="W54" s="28" t="s">
        <v>392</v>
      </c>
      <c r="X54" s="50" t="s">
        <v>393</v>
      </c>
      <c r="Y54" s="28" t="s">
        <v>394</v>
      </c>
      <c r="Z54" s="142"/>
      <c r="AA54" s="142"/>
      <c r="AB54" s="51"/>
      <c r="AC54" s="52">
        <v>39448</v>
      </c>
      <c r="AD54" s="147">
        <f>IF(YEAR(Tabla2[[#This Row],[FECHA DE NACIMIENTO DEL ALUMNO]])&lt;&gt;1900,YEAR(Tabla2[[#This Row],[FECHA DE NACIMIENTO DEL ALUMNO]]),"")</f>
        <v>2008</v>
      </c>
      <c r="AE54" s="20"/>
      <c r="AF54" s="9"/>
      <c r="AG54" s="20"/>
      <c r="AH54" s="42"/>
      <c r="AI54" s="64"/>
      <c r="AJ54" s="9"/>
      <c r="AK54" s="42"/>
      <c r="AL54" s="236">
        <f>IF(Tabla2[[#This Row],[RECIBO ACTUAL]]=0,0,_xlfn.XLOOKUP(CONCATENATE(Tabla2[[#This Row],[CLASE]],Tabla2[[#This Row],[DURACIÓN]]),DevelupeMode!$P$4:$P$10,DevelupeMode!$Q$4:$Q$10,0))</f>
        <v>0</v>
      </c>
      <c r="AM54" s="159"/>
      <c r="AN54" s="9"/>
      <c r="AO54">
        <f>_xlfn.XLOOKUP(Tabla2[[#This Row],[CURSO]],DevelupeMode!$T$4:$T$11,DevelupeMode!$U$4:$U$11,AO53+1)</f>
        <v>4</v>
      </c>
    </row>
    <row r="55" spans="2:42" ht="15" customHeight="1" x14ac:dyDescent="0.25">
      <c r="B55" s="216"/>
      <c r="C55" s="280">
        <f>IFERROR(IF(Tabla2[[#This Row],[Status]]="",0,IF(LEFT(Tabla2[[#This Row],[Status]],4)="Baja",C54,C54+1)),1)</f>
        <v>5</v>
      </c>
      <c r="D55" s="87" t="s">
        <v>19</v>
      </c>
      <c r="E55" s="88" t="str">
        <f>IF(AND(Tabla2[[#This Row],[RECIBO ACTUAL]]="",Tabla2[[#This Row],[Status]]="Activo"),"paguenmelaren","")</f>
        <v/>
      </c>
      <c r="F55" s="87" t="s">
        <v>601</v>
      </c>
      <c r="G55" s="262"/>
      <c r="H55" s="204" t="str">
        <f>IFERROR(CONCATENATE("AGS015",MID(Tabla2[[#This Row],[ALUMNO]],1,2),MID(Tabla2[[#This Row],[ALUMNO]],FIND(" ",Tabla2[[#This Row],[ALUMNO]],1)+1,2)),"Aguas")</f>
        <v>AGS015ReZa</v>
      </c>
      <c r="I55" s="263" t="s">
        <v>631</v>
      </c>
      <c r="J55" s="104">
        <f ca="1">IFERROR(YEAR(TODAY())-Tabla2[[#This Row],[año]],"")</f>
        <v>17</v>
      </c>
      <c r="K55" s="277" t="s">
        <v>145</v>
      </c>
      <c r="L55" s="265" t="s">
        <v>57</v>
      </c>
      <c r="M55" s="23"/>
      <c r="N55" s="23"/>
      <c r="O55" s="23" t="str">
        <f>IF(Tabla2[[#This Row],[MÉTODO]]="Yamaha","Royalty","")</f>
        <v/>
      </c>
      <c r="P55" s="84"/>
      <c r="Q55" s="84"/>
      <c r="R55" s="266" t="s">
        <v>609</v>
      </c>
      <c r="S55" s="278">
        <v>0.75</v>
      </c>
      <c r="T55" s="279" t="s">
        <v>334</v>
      </c>
      <c r="U55" s="84"/>
      <c r="V55" s="266">
        <v>50</v>
      </c>
      <c r="W55" s="267" t="s">
        <v>629</v>
      </c>
      <c r="X55" s="50"/>
      <c r="Y55" s="84"/>
      <c r="Z55" s="84"/>
      <c r="AA55" s="84"/>
      <c r="AB55" s="51"/>
      <c r="AC55" s="268">
        <v>39814</v>
      </c>
      <c r="AD55" s="52">
        <f>IF(YEAR(Tabla2[[#This Row],[FECHA DE NACIMIENTO DEL ALUMNO]])&lt;&gt;1900,YEAR(Tabla2[[#This Row],[FECHA DE NACIMIENTO DEL ALUMNO]]),"")</f>
        <v>2009</v>
      </c>
      <c r="AE55" s="84"/>
      <c r="AF55" s="23"/>
      <c r="AG55" s="18"/>
      <c r="AH55" s="42"/>
      <c r="AI55" s="73"/>
      <c r="AJ55" s="23"/>
      <c r="AK55" s="71">
        <v>680</v>
      </c>
      <c r="AL55" s="236">
        <f>IF(Tabla2[[#This Row],[RECIBO ACTUAL]]=0,0,_xlfn.XLOOKUP(CONCATENATE(Tabla2[[#This Row],[CLASE]],Tabla2[[#This Row],[DURACIÓN]]),DevelupeMode!$P$4:$P$10,DevelupeMode!$Q$4:$Q$10,0))</f>
        <v>1100</v>
      </c>
      <c r="AM55" s="159" t="s">
        <v>630</v>
      </c>
      <c r="AN55" s="23"/>
      <c r="AO55" s="81">
        <f>_xlfn.XLOOKUP(Tabla2[[#This Row],[CURSO]],DevelupeMode!$T$4:$T$11,DevelupeMode!$U$4:$U$11,AO54+1)</f>
        <v>10</v>
      </c>
      <c r="AP55" s="81"/>
    </row>
    <row r="56" spans="2:42" ht="15" hidden="1" customHeight="1" x14ac:dyDescent="0.25">
      <c r="B56" s="206"/>
      <c r="C56" s="205">
        <f>IFERROR(IF(Tabla2[[#This Row],[Status]]="",0,IF(LEFT(Tabla2[[#This Row],[Status]],4)="Baja",C55,C55+1)),1)</f>
        <v>5</v>
      </c>
      <c r="D56" s="87" t="s">
        <v>148</v>
      </c>
      <c r="E56" s="87" t="str">
        <f>IF(AND(Tabla2[[#This Row],[RECIBO ACTUAL]]="",Tabla2[[#This Row],[Status]]="Activo"),"paguenmelaren","")</f>
        <v/>
      </c>
      <c r="F56" s="87"/>
      <c r="G56" s="183">
        <v>45528</v>
      </c>
      <c r="H56" s="204" t="str">
        <f>IFERROR(CONCATENATE("AGS015",MID(Tabla2[[#This Row],[ALUMNO]],1,2),MID(Tabla2[[#This Row],[ALUMNO]],FIND(" ",Tabla2[[#This Row],[ALUMNO]],1)+1,2)),"Aguas")</f>
        <v>AGS015DaLu</v>
      </c>
      <c r="I56" s="7" t="s">
        <v>306</v>
      </c>
      <c r="J56" s="7">
        <f ca="1">IFERROR(YEAR(TODAY())-Tabla2[[#This Row],[año]],"")</f>
        <v>15</v>
      </c>
      <c r="K56" s="94" t="s">
        <v>259</v>
      </c>
      <c r="L56" s="9" t="s">
        <v>42</v>
      </c>
      <c r="M56" s="9"/>
      <c r="N56" s="24"/>
      <c r="O56" s="9" t="str">
        <f>IF(Tabla2[[#This Row],[MÉTODO]]="Yamaha","Royalty","")</f>
        <v/>
      </c>
      <c r="P56" s="9"/>
      <c r="Q56" s="9"/>
      <c r="R56" s="113" t="s">
        <v>96</v>
      </c>
      <c r="S56" s="11">
        <v>0.71875</v>
      </c>
      <c r="T56" s="113" t="s">
        <v>113</v>
      </c>
      <c r="U56" s="113" t="s">
        <v>390</v>
      </c>
      <c r="V56" s="113">
        <v>45</v>
      </c>
      <c r="W56" s="28" t="s">
        <v>307</v>
      </c>
      <c r="X56" s="29" t="s">
        <v>308</v>
      </c>
      <c r="Y56" s="28" t="s">
        <v>309</v>
      </c>
      <c r="Z56" s="142"/>
      <c r="AA56" s="142"/>
      <c r="AB56" s="30"/>
      <c r="AC56" s="6">
        <v>40544</v>
      </c>
      <c r="AD56" s="147">
        <f>IF(YEAR(Tabla2[[#This Row],[FECHA DE NACIMIENTO DEL ALUMNO]])&lt;&gt;1900,YEAR(Tabla2[[#This Row],[FECHA DE NACIMIENTO DEL ALUMNO]]),"")</f>
        <v>2011</v>
      </c>
      <c r="AE56" s="20">
        <v>600</v>
      </c>
      <c r="AF56" s="9"/>
      <c r="AG56" s="21"/>
      <c r="AH56" s="17"/>
      <c r="AI56" s="20"/>
      <c r="AJ56" s="9"/>
      <c r="AK56" s="17"/>
      <c r="AL56" s="236">
        <f>IF(Tabla2[[#This Row],[RECIBO ACTUAL]]=0,0,_xlfn.XLOOKUP(CONCATENATE(Tabla2[[#This Row],[CLASE]],Tabla2[[#This Row],[DURACIÓN]]),DevelupeMode!$P$4:$P$10,DevelupeMode!$Q$4:$Q$10,0))</f>
        <v>0</v>
      </c>
      <c r="AM56" s="157"/>
      <c r="AN56" s="9"/>
      <c r="AO56">
        <f>_xlfn.XLOOKUP(Tabla2[[#This Row],[CURSO]],DevelupeMode!$T$4:$T$11,DevelupeMode!$U$4:$U$11,AO55+1)</f>
        <v>4</v>
      </c>
    </row>
    <row r="57" spans="2:42" ht="15" hidden="1" customHeight="1" x14ac:dyDescent="0.25">
      <c r="B57" s="206"/>
      <c r="C57" s="205">
        <f>IFERROR(IF(Tabla2[[#This Row],[Status]]="",0,IF(LEFT(Tabla2[[#This Row],[Status]],4)="Baja",C56,C56+1)),1)</f>
        <v>5</v>
      </c>
      <c r="D57" s="87" t="s">
        <v>148</v>
      </c>
      <c r="E57" s="88" t="str">
        <f>IF(AND(Tabla2[[#This Row],[RECIBO ACTUAL]]="",Tabla2[[#This Row],[Status]]="Activo"),"paguenmelaren","")</f>
        <v/>
      </c>
      <c r="F57" s="87"/>
      <c r="G57" s="182">
        <v>45589</v>
      </c>
      <c r="H57" s="204" t="str">
        <f>IFERROR(CONCATENATE("AGS015",MID(Tabla2[[#This Row],[ALUMNO]],1,2),MID(Tabla2[[#This Row],[ALUMNO]],FIND(" ",Tabla2[[#This Row],[ALUMNO]],1)+1,2)),"Aguas")</f>
        <v>AGS015MaEl</v>
      </c>
      <c r="I57" s="7" t="s">
        <v>387</v>
      </c>
      <c r="J57" s="104">
        <f ca="1">IFERROR(YEAR(TODAY())-Tabla2[[#This Row],[año]],"")</f>
        <v>16</v>
      </c>
      <c r="K57" s="94" t="s">
        <v>259</v>
      </c>
      <c r="L57" s="9" t="s">
        <v>42</v>
      </c>
      <c r="M57" s="9"/>
      <c r="N57" s="9"/>
      <c r="O57" s="9" t="str">
        <f>IF(Tabla2[[#This Row],[MÉTODO]]="Yamaha","Royalty","")</f>
        <v/>
      </c>
      <c r="P57" s="9"/>
      <c r="Q57" s="9"/>
      <c r="R57" s="112" t="s">
        <v>96</v>
      </c>
      <c r="S57" s="11">
        <v>0.71875</v>
      </c>
      <c r="T57" s="113" t="s">
        <v>334</v>
      </c>
      <c r="U57" s="113"/>
      <c r="V57" s="112">
        <v>50</v>
      </c>
      <c r="W57" s="142">
        <v>4495289980</v>
      </c>
      <c r="X57" s="50"/>
      <c r="Y57" s="142" t="s">
        <v>388</v>
      </c>
      <c r="Z57" s="142"/>
      <c r="AA57" s="142"/>
      <c r="AB57" s="51"/>
      <c r="AC57" s="52">
        <v>40179</v>
      </c>
      <c r="AD57" s="147">
        <f>IF(YEAR(Tabla2[[#This Row],[FECHA DE NACIMIENTO DEL ALUMNO]])&lt;&gt;1900,YEAR(Tabla2[[#This Row],[FECHA DE NACIMIENTO DEL ALUMNO]]),"")</f>
        <v>2010</v>
      </c>
      <c r="AE57" s="20"/>
      <c r="AF57" s="9"/>
      <c r="AG57" s="20"/>
      <c r="AH57" s="42"/>
      <c r="AI57" s="64"/>
      <c r="AJ57" s="9"/>
      <c r="AK57" s="42"/>
      <c r="AL57" s="236">
        <f>IF(Tabla2[[#This Row],[RECIBO ACTUAL]]=0,0,_xlfn.XLOOKUP(CONCATENATE(Tabla2[[#This Row],[CLASE]],Tabla2[[#This Row],[DURACIÓN]]),DevelupeMode!$P$4:$P$10,DevelupeMode!$Q$4:$Q$10,0))</f>
        <v>0</v>
      </c>
      <c r="AM57" s="159"/>
      <c r="AN57" s="9"/>
      <c r="AO57">
        <f>_xlfn.XLOOKUP(Tabla2[[#This Row],[CURSO]],DevelupeMode!$T$4:$T$11,DevelupeMode!$U$4:$U$11,AO56+1)</f>
        <v>4</v>
      </c>
    </row>
    <row r="58" spans="2:42" ht="15" hidden="1" customHeight="1" x14ac:dyDescent="0.25">
      <c r="B58" s="206"/>
      <c r="C58" s="205">
        <f>IFERROR(IF(Tabla2[[#This Row],[Status]]="",0,IF(LEFT(Tabla2[[#This Row],[Status]],4)="Baja",C57,C57+1)),1)</f>
        <v>5</v>
      </c>
      <c r="D58" s="87" t="s">
        <v>148</v>
      </c>
      <c r="E58" s="88" t="str">
        <f>IF(AND(Tabla2[[#This Row],[RECIBO ACTUAL]]="",Tabla2[[#This Row],[Status]]="Activo"),"paguenmelaren","")</f>
        <v/>
      </c>
      <c r="F58" s="87"/>
      <c r="G58" s="182">
        <v>45559</v>
      </c>
      <c r="H58" s="204" t="str">
        <f>IFERROR(CONCATENATE("AGS015",MID(Tabla2[[#This Row],[ALUMNO]],1,2),MID(Tabla2[[#This Row],[ALUMNO]],FIND(" ",Tabla2[[#This Row],[ALUMNO]],1)+1,2)),"Aguas")</f>
        <v>AGS015AnEl</v>
      </c>
      <c r="I58" s="7" t="s">
        <v>380</v>
      </c>
      <c r="J58" s="104">
        <f ca="1">IFERROR(YEAR(TODAY())-Tabla2[[#This Row],[año]],"")</f>
        <v>13</v>
      </c>
      <c r="K58" s="94" t="s">
        <v>259</v>
      </c>
      <c r="L58" s="9" t="s">
        <v>42</v>
      </c>
      <c r="M58" s="158"/>
      <c r="N58" s="158"/>
      <c r="O58" s="158" t="str">
        <f>IF(Tabla2[[#This Row],[MÉTODO]]="Yamaha","Royalty","")</f>
        <v/>
      </c>
      <c r="P58" s="158"/>
      <c r="Q58" s="158"/>
      <c r="R58" s="192" t="s">
        <v>96</v>
      </c>
      <c r="S58" s="11">
        <v>0.73958333333333337</v>
      </c>
      <c r="T58" s="113" t="s">
        <v>113</v>
      </c>
      <c r="U58" s="113"/>
      <c r="V58" s="192">
        <v>30</v>
      </c>
      <c r="W58" s="142">
        <v>4492613155</v>
      </c>
      <c r="X58" s="196" t="s">
        <v>382</v>
      </c>
      <c r="Y58" s="142" t="s">
        <v>383</v>
      </c>
      <c r="Z58" s="142" t="s">
        <v>384</v>
      </c>
      <c r="AA58" s="142">
        <v>4493475905</v>
      </c>
      <c r="AB58" s="198"/>
      <c r="AC58" s="52">
        <v>41275</v>
      </c>
      <c r="AD58" s="147">
        <f>IF(YEAR(Tabla2[[#This Row],[FECHA DE NACIMIENTO DEL ALUMNO]])&lt;&gt;1900,YEAR(Tabla2[[#This Row],[FECHA DE NACIMIENTO DEL ALUMNO]]),"")</f>
        <v>2013</v>
      </c>
      <c r="AE58" s="20">
        <v>300</v>
      </c>
      <c r="AF58" s="9" t="s">
        <v>381</v>
      </c>
      <c r="AG58" s="20"/>
      <c r="AH58" s="42"/>
      <c r="AI58" s="64"/>
      <c r="AJ58" s="9"/>
      <c r="AK58" s="42"/>
      <c r="AL58" s="236">
        <f>IF(Tabla2[[#This Row],[RECIBO ACTUAL]]=0,0,_xlfn.XLOOKUP(CONCATENATE(Tabla2[[#This Row],[CLASE]],Tabla2[[#This Row],[DURACIÓN]]),DevelupeMode!$P$4:$P$10,DevelupeMode!$Q$4:$Q$10,0))</f>
        <v>0</v>
      </c>
      <c r="AM58" s="159"/>
      <c r="AN58" s="9"/>
      <c r="AO58">
        <f>_xlfn.XLOOKUP(Tabla2[[#This Row],[CURSO]],DevelupeMode!$T$4:$T$11,DevelupeMode!$U$4:$U$11,AO57+1)</f>
        <v>4</v>
      </c>
    </row>
    <row r="59" spans="2:42" ht="15" hidden="1" customHeight="1" x14ac:dyDescent="0.25">
      <c r="B59" s="206"/>
      <c r="C59" s="205">
        <f>IFERROR(IF(Tabla2[[#This Row],[Status]]="",0,IF(LEFT(Tabla2[[#This Row],[Status]],4)="Baja",C58,C58+1)),1)</f>
        <v>5</v>
      </c>
      <c r="D59" s="87" t="s">
        <v>148</v>
      </c>
      <c r="E59" s="87" t="str">
        <f>IF(AND(Tabla2[[#This Row],[RECIBO ACTUAL]]="",Tabla2[[#This Row],[Status]]="Activo"),"paguenmelaren","")</f>
        <v/>
      </c>
      <c r="F59" s="87"/>
      <c r="G59" s="183">
        <v>45528</v>
      </c>
      <c r="H59" s="204" t="str">
        <f>IFERROR(CONCATENATE("AGS015",MID(Tabla2[[#This Row],[ALUMNO]],1,2),MID(Tabla2[[#This Row],[ALUMNO]],FIND(" ",Tabla2[[#This Row],[ALUMNO]],1)+1,2)),"Aguas")</f>
        <v>AGS015RaLi</v>
      </c>
      <c r="I59" s="7" t="s">
        <v>340</v>
      </c>
      <c r="J59" s="7">
        <f ca="1">IFERROR(YEAR(TODAY())-Tabla2[[#This Row],[año]],"")</f>
        <v>22</v>
      </c>
      <c r="K59" s="94" t="s">
        <v>259</v>
      </c>
      <c r="L59" s="9" t="s">
        <v>42</v>
      </c>
      <c r="M59" s="158"/>
      <c r="N59" s="240"/>
      <c r="O59" s="158" t="str">
        <f>IF(Tabla2[[#This Row],[MÉTODO]]="Yamaha","Royalty","")</f>
        <v/>
      </c>
      <c r="P59" s="158"/>
      <c r="Q59" s="158"/>
      <c r="R59" s="176" t="s">
        <v>96</v>
      </c>
      <c r="S59" s="11">
        <v>0.75</v>
      </c>
      <c r="T59" s="113" t="s">
        <v>334</v>
      </c>
      <c r="U59" s="113"/>
      <c r="V59" s="176">
        <v>50</v>
      </c>
      <c r="W59" s="142" t="s">
        <v>341</v>
      </c>
      <c r="X59" s="244"/>
      <c r="Y59" s="142"/>
      <c r="Z59" s="142"/>
      <c r="AA59" s="142"/>
      <c r="AB59" s="208"/>
      <c r="AC59" s="6">
        <v>37987</v>
      </c>
      <c r="AD59" s="147">
        <f>IF(YEAR(Tabla2[[#This Row],[FECHA DE NACIMIENTO DEL ALUMNO]])&lt;&gt;1900,YEAR(Tabla2[[#This Row],[FECHA DE NACIMIENTO DEL ALUMNO]]),"")</f>
        <v>2004</v>
      </c>
      <c r="AE59" s="20">
        <v>600</v>
      </c>
      <c r="AF59" s="9"/>
      <c r="AG59" s="21"/>
      <c r="AH59" s="91"/>
      <c r="AI59" s="20"/>
      <c r="AJ59" s="9"/>
      <c r="AK59" s="91"/>
      <c r="AL59" s="236">
        <f>IF(Tabla2[[#This Row],[RECIBO ACTUAL]]=0,0,_xlfn.XLOOKUP(CONCATENATE(Tabla2[[#This Row],[CLASE]],Tabla2[[#This Row],[DURACIÓN]]),DevelupeMode!$P$4:$P$10,DevelupeMode!$Q$4:$Q$10,0))</f>
        <v>0</v>
      </c>
      <c r="AM59" s="9"/>
      <c r="AN59" s="9"/>
      <c r="AO59">
        <f>_xlfn.XLOOKUP(Tabla2[[#This Row],[CURSO]],DevelupeMode!$T$4:$T$11,DevelupeMode!$U$4:$U$11,AO58+1)</f>
        <v>4</v>
      </c>
    </row>
    <row r="60" spans="2:42" ht="15" customHeight="1" x14ac:dyDescent="0.25">
      <c r="B60" s="216"/>
      <c r="C60" s="205">
        <f>IFERROR(IF(Tabla2[[#This Row],[Status]]="",0,IF(LEFT(Tabla2[[#This Row],[Status]],4)="Baja",C59,C59+1)),1)</f>
        <v>6</v>
      </c>
      <c r="D60" s="87" t="s">
        <v>19</v>
      </c>
      <c r="E60" s="87" t="str">
        <f>IF(AND(Tabla2[[#This Row],[RECIBO ACTUAL]]="",Tabla2[[#This Row],[Status]]="Activo"),"paguenmelaren","")</f>
        <v/>
      </c>
      <c r="F60" s="87"/>
      <c r="G60" s="182">
        <v>45314</v>
      </c>
      <c r="H60" s="204" t="str">
        <f>IFERROR(CONCATENATE("AGS015",MID(Tabla2[[#This Row],[ALUMNO]],1,2),MID(Tabla2[[#This Row],[ALUMNO]],FIND(" ",Tabla2[[#This Row],[ALUMNO]],1)+1,2)),"Aguas")</f>
        <v>AGS015SoRo</v>
      </c>
      <c r="I60" s="7" t="s">
        <v>189</v>
      </c>
      <c r="J60" s="7">
        <f ca="1">IFERROR(YEAR(TODAY())-Tabla2[[#This Row],[año]],"")</f>
        <v>15</v>
      </c>
      <c r="K60" s="44" t="s">
        <v>145</v>
      </c>
      <c r="L60" s="9" t="s">
        <v>57</v>
      </c>
      <c r="M60" s="9">
        <v>9</v>
      </c>
      <c r="N60" s="9" t="s">
        <v>24</v>
      </c>
      <c r="O60" s="9"/>
      <c r="P60" s="22">
        <v>45752</v>
      </c>
      <c r="Q60" s="9"/>
      <c r="R60" s="113" t="s">
        <v>617</v>
      </c>
      <c r="S60" s="11">
        <v>0.45833333333333331</v>
      </c>
      <c r="T60" s="113" t="s">
        <v>334</v>
      </c>
      <c r="U60" s="113"/>
      <c r="V60" s="113">
        <v>50</v>
      </c>
      <c r="W60" s="142"/>
      <c r="X60" s="29" t="s">
        <v>328</v>
      </c>
      <c r="Y60" s="145">
        <v>4491890575</v>
      </c>
      <c r="Z60" s="145" t="s">
        <v>329</v>
      </c>
      <c r="AA60" s="145">
        <v>4491420728</v>
      </c>
      <c r="AB60" s="28"/>
      <c r="AC60" s="6">
        <v>40871</v>
      </c>
      <c r="AD60" s="147">
        <f>IF(YEAR(Tabla2[[#This Row],[FECHA DE NACIMIENTO DEL ALUMNO]])&lt;&gt;1900,YEAR(Tabla2[[#This Row],[FECHA DE NACIMIENTO DEL ALUMNO]]),"")</f>
        <v>2011</v>
      </c>
      <c r="AE60" s="18"/>
      <c r="AF60" s="9"/>
      <c r="AG60" s="153"/>
      <c r="AH60" s="202">
        <v>634</v>
      </c>
      <c r="AI60" s="73"/>
      <c r="AJ60" s="53"/>
      <c r="AK60" s="202">
        <v>659</v>
      </c>
      <c r="AL60" s="236">
        <f>IF(Tabla2[[#This Row],[RECIBO ACTUAL]]=0,0,_xlfn.XLOOKUP(CONCATENATE(Tabla2[[#This Row],[CLASE]],Tabla2[[#This Row],[DURACIÓN]]),DevelupeMode!$P$4:$P$10,DevelupeMode!$Q$4:$Q$10,0))</f>
        <v>1100</v>
      </c>
      <c r="AM60" s="21" t="s">
        <v>56</v>
      </c>
      <c r="AN60" s="22"/>
      <c r="AO60">
        <f>_xlfn.XLOOKUP(Tabla2[[#This Row],[CURSO]],DevelupeMode!$T$4:$T$11,DevelupeMode!$U$4:$U$11,AO59+1)</f>
        <v>10</v>
      </c>
      <c r="AP60" s="81"/>
    </row>
    <row r="61" spans="2:42" ht="15" customHeight="1" x14ac:dyDescent="0.25">
      <c r="B61" s="216"/>
      <c r="C61" s="205">
        <f>IFERROR(IF(Tabla2[[#This Row],[Status]]="",0,IF(LEFT(Tabla2[[#This Row],[Status]],4)="Baja",C60,C60+1)),1)</f>
        <v>7</v>
      </c>
      <c r="D61" s="87" t="s">
        <v>19</v>
      </c>
      <c r="E61" s="87" t="str">
        <f>IF(AND(Tabla2[[#This Row],[RECIBO ACTUAL]]="",Tabla2[[#This Row],[Status]]="Activo"),"paguenmelaren","")</f>
        <v/>
      </c>
      <c r="F61" s="87"/>
      <c r="G61" s="182">
        <v>45314</v>
      </c>
      <c r="H61" s="204" t="str">
        <f>IFERROR(CONCATENATE("AGS015",MID(Tabla2[[#This Row],[ALUMNO]],1,2),MID(Tabla2[[#This Row],[ALUMNO]],FIND(" ",Tabla2[[#This Row],[ALUMNO]],1)+1,2)),"Aguas")</f>
        <v>AGS015DiRo</v>
      </c>
      <c r="I61" s="7" t="s">
        <v>199</v>
      </c>
      <c r="J61" s="7">
        <f ca="1">IFERROR(YEAR(TODAY())-Tabla2[[#This Row],[año]],"")</f>
        <v>11</v>
      </c>
      <c r="K61" s="44" t="s">
        <v>145</v>
      </c>
      <c r="L61" s="9" t="s">
        <v>57</v>
      </c>
      <c r="M61" s="158">
        <v>9</v>
      </c>
      <c r="N61" s="158" t="s">
        <v>24</v>
      </c>
      <c r="O61" s="158"/>
      <c r="P61" s="285">
        <v>45752</v>
      </c>
      <c r="Q61" s="158"/>
      <c r="R61" s="113" t="s">
        <v>617</v>
      </c>
      <c r="S61" s="11">
        <v>0.45833333333333331</v>
      </c>
      <c r="T61" s="113" t="s">
        <v>334</v>
      </c>
      <c r="U61" s="113"/>
      <c r="V61" s="176">
        <v>50</v>
      </c>
      <c r="W61" s="142"/>
      <c r="X61" s="244" t="s">
        <v>328</v>
      </c>
      <c r="Y61" s="145">
        <v>4491890575</v>
      </c>
      <c r="Z61" s="145" t="s">
        <v>329</v>
      </c>
      <c r="AA61" s="145">
        <v>4491420728</v>
      </c>
      <c r="AB61" s="231"/>
      <c r="AC61" s="6">
        <v>42171</v>
      </c>
      <c r="AD61" s="147">
        <f>IF(YEAR(Tabla2[[#This Row],[FECHA DE NACIMIENTO DEL ALUMNO]])&lt;&gt;1900,YEAR(Tabla2[[#This Row],[FECHA DE NACIMIENTO DEL ALUMNO]]),"")</f>
        <v>2015</v>
      </c>
      <c r="AE61" s="18"/>
      <c r="AF61" s="9"/>
      <c r="AG61" s="153"/>
      <c r="AH61" s="71">
        <v>634</v>
      </c>
      <c r="AI61" s="73"/>
      <c r="AJ61" s="53"/>
      <c r="AK61" s="71">
        <v>659</v>
      </c>
      <c r="AL61" s="236">
        <f>IF(Tabla2[[#This Row],[RECIBO ACTUAL]]=0,0,_xlfn.XLOOKUP(CONCATENATE(Tabla2[[#This Row],[CLASE]],Tabla2[[#This Row],[DURACIÓN]]),DevelupeMode!$P$4:$P$10,DevelupeMode!$Q$4:$Q$10,0))</f>
        <v>1100</v>
      </c>
      <c r="AM61" s="21" t="s">
        <v>56</v>
      </c>
      <c r="AN61" s="22"/>
      <c r="AO61">
        <f>_xlfn.XLOOKUP(Tabla2[[#This Row],[CURSO]],DevelupeMode!$T$4:$T$11,DevelupeMode!$U$4:$U$11,AO60+1)</f>
        <v>10</v>
      </c>
      <c r="AP61" s="81"/>
    </row>
    <row r="62" spans="2:42" ht="15" hidden="1" customHeight="1" x14ac:dyDescent="0.25">
      <c r="B62" s="206"/>
      <c r="C62" s="205">
        <f>IFERROR(IF(Tabla2[[#This Row],[Status]]="",0,IF(LEFT(Tabla2[[#This Row],[Status]],4)="Baja",C61,C61+1)),1)</f>
        <v>7</v>
      </c>
      <c r="D62" s="87" t="s">
        <v>148</v>
      </c>
      <c r="E62" s="88" t="str">
        <f>IF(AND(Tabla2[[#This Row],[RECIBO ACTUAL]]="",Tabla2[[#This Row],[Status]]="Activo"),"paguenmelaren","")</f>
        <v/>
      </c>
      <c r="F62" s="87"/>
      <c r="G62" s="182">
        <v>45674</v>
      </c>
      <c r="H62" s="204" t="str">
        <f>IFERROR(CONCATENATE("AGS015",MID(Tabla2[[#This Row],[ALUMNO]],1,2),MID(Tabla2[[#This Row],[ALUMNO]],FIND(" ",Tabla2[[#This Row],[ALUMNO]],1)+1,2)),"Aguas")</f>
        <v>AGS015IvAl</v>
      </c>
      <c r="I62" s="7" t="s">
        <v>437</v>
      </c>
      <c r="J62" s="104">
        <f ca="1">IFERROR(YEAR(TODAY())-Tabla2[[#This Row],[año]],"")</f>
        <v>27</v>
      </c>
      <c r="K62" s="94" t="s">
        <v>259</v>
      </c>
      <c r="L62" s="9" t="s">
        <v>42</v>
      </c>
      <c r="M62" s="9"/>
      <c r="N62" s="9"/>
      <c r="O62" s="9" t="str">
        <f>IF(Tabla2[[#This Row],[MÉTODO]]="Yamaha","Royalty","")</f>
        <v/>
      </c>
      <c r="P62" s="158"/>
      <c r="Q62" s="158"/>
      <c r="R62" s="176" t="s">
        <v>96</v>
      </c>
      <c r="S62" s="11">
        <v>0.79166666666666663</v>
      </c>
      <c r="T62" s="113" t="s">
        <v>334</v>
      </c>
      <c r="U62" s="113"/>
      <c r="V62" s="112">
        <v>50</v>
      </c>
      <c r="W62" s="142">
        <v>4491163966</v>
      </c>
      <c r="X62" s="50"/>
      <c r="Y62" s="142"/>
      <c r="Z62" s="142"/>
      <c r="AA62" s="142"/>
      <c r="AB62" s="51"/>
      <c r="AC62" s="52">
        <v>36161</v>
      </c>
      <c r="AD62" s="147">
        <f>IF(YEAR(Tabla2[[#This Row],[FECHA DE NACIMIENTO DEL ALUMNO]])&lt;&gt;1900,YEAR(Tabla2[[#This Row],[FECHA DE NACIMIENTO DEL ALUMNO]]),"")</f>
        <v>1999</v>
      </c>
      <c r="AE62" s="20"/>
      <c r="AF62" s="9"/>
      <c r="AG62" s="20"/>
      <c r="AH62" s="174"/>
      <c r="AI62" s="64"/>
      <c r="AJ62" s="9"/>
      <c r="AK62" s="174"/>
      <c r="AL62" s="236">
        <f>IF(Tabla2[[#This Row],[RECIBO ACTUAL]]=0,0,_xlfn.XLOOKUP(CONCATENATE(Tabla2[[#This Row],[CLASE]],Tabla2[[#This Row],[DURACIÓN]]),DevelupeMode!$P$4:$P$10,DevelupeMode!$Q$4:$Q$10,0))</f>
        <v>0</v>
      </c>
      <c r="AM62" s="159"/>
      <c r="AN62" s="9"/>
      <c r="AO62">
        <f>_xlfn.XLOOKUP(Tabla2[[#This Row],[CURSO]],DevelupeMode!$T$4:$T$11,DevelupeMode!$U$4:$U$11,AO61+1)</f>
        <v>4</v>
      </c>
    </row>
    <row r="63" spans="2:42" ht="15" hidden="1" customHeight="1" x14ac:dyDescent="0.25">
      <c r="B63" s="206"/>
      <c r="C63" s="205">
        <f>IFERROR(IF(Tabla2[[#This Row],[Status]]="",0,IF(LEFT(Tabla2[[#This Row],[Status]],4)="Baja",C62,C62+1)),1)</f>
        <v>7</v>
      </c>
      <c r="D63" s="87" t="s">
        <v>148</v>
      </c>
      <c r="E63" s="88" t="str">
        <f>IF(AND(Tabla2[[#This Row],[RECIBO ACTUAL]]="",Tabla2[[#This Row],[Status]]="Activo"),"paguenmelaren","")</f>
        <v/>
      </c>
      <c r="F63" s="87"/>
      <c r="G63" s="182">
        <v>45674</v>
      </c>
      <c r="H63" s="204" t="str">
        <f>IFERROR(CONCATENATE("AGS015",MID(Tabla2[[#This Row],[ALUMNO]],1,2),MID(Tabla2[[#This Row],[ALUMNO]],FIND(" ",Tabla2[[#This Row],[ALUMNO]],1)+1,2)),"Aguas")</f>
        <v>AGS015JeAr</v>
      </c>
      <c r="I63" s="7" t="s">
        <v>436</v>
      </c>
      <c r="J63" s="104">
        <f ca="1">IFERROR(YEAR(TODAY())-Tabla2[[#This Row],[año]],"")</f>
        <v>32</v>
      </c>
      <c r="K63" s="94" t="s">
        <v>259</v>
      </c>
      <c r="L63" s="9" t="s">
        <v>42</v>
      </c>
      <c r="M63" s="9"/>
      <c r="N63" s="9"/>
      <c r="O63" s="9" t="str">
        <f>IF(Tabla2[[#This Row],[MÉTODO]]="Yamaha","Royalty","")</f>
        <v/>
      </c>
      <c r="P63" s="158"/>
      <c r="Q63" s="158"/>
      <c r="R63" s="176" t="s">
        <v>96</v>
      </c>
      <c r="S63" s="11">
        <v>0.79166666666666663</v>
      </c>
      <c r="T63" s="113" t="s">
        <v>334</v>
      </c>
      <c r="U63" s="113"/>
      <c r="V63" s="112">
        <v>50</v>
      </c>
      <c r="W63" s="142">
        <v>4492943275</v>
      </c>
      <c r="X63" s="50"/>
      <c r="Y63" s="142"/>
      <c r="Z63" s="142"/>
      <c r="AA63" s="142"/>
      <c r="AB63" s="51"/>
      <c r="AC63" s="52">
        <v>34335</v>
      </c>
      <c r="AD63" s="147">
        <f>IF(YEAR(Tabla2[[#This Row],[FECHA DE NACIMIENTO DEL ALUMNO]])&lt;&gt;1900,YEAR(Tabla2[[#This Row],[FECHA DE NACIMIENTO DEL ALUMNO]]),"")</f>
        <v>1994</v>
      </c>
      <c r="AE63" s="20"/>
      <c r="AF63" s="9"/>
      <c r="AG63" s="20"/>
      <c r="AH63" s="174"/>
      <c r="AI63" s="64"/>
      <c r="AJ63" s="9"/>
      <c r="AK63" s="174"/>
      <c r="AL63" s="236">
        <f>IF(Tabla2[[#This Row],[RECIBO ACTUAL]]=0,0,_xlfn.XLOOKUP(CONCATENATE(Tabla2[[#This Row],[CLASE]],Tabla2[[#This Row],[DURACIÓN]]),DevelupeMode!$P$4:$P$10,DevelupeMode!$Q$4:$Q$10,0))</f>
        <v>0</v>
      </c>
      <c r="AM63" s="159"/>
      <c r="AN63" s="9"/>
      <c r="AO63">
        <f>_xlfn.XLOOKUP(Tabla2[[#This Row],[CURSO]],DevelupeMode!$T$4:$T$11,DevelupeMode!$U$4:$U$11,AO62+1)</f>
        <v>4</v>
      </c>
    </row>
    <row r="64" spans="2:42" ht="15" customHeight="1" x14ac:dyDescent="0.25">
      <c r="B64" s="216"/>
      <c r="C64" s="205">
        <f>IFERROR(IF(Tabla2[[#This Row],[Status]]="",0,IF(LEFT(Tabla2[[#This Row],[Status]],4)="Baja",C63,C63+1)),1)</f>
        <v>8</v>
      </c>
      <c r="D64" s="87" t="s">
        <v>19</v>
      </c>
      <c r="E64" s="87" t="str">
        <f>IF(AND(Tabla2[[#This Row],[RECIBO ACTUAL]]="",Tabla2[[#This Row],[Status]]="Activo"),"paguenmelaren","")</f>
        <v/>
      </c>
      <c r="F64" s="87"/>
      <c r="G64" s="182">
        <v>45762</v>
      </c>
      <c r="H64" s="204" t="str">
        <f>IFERROR(CONCATENATE("AGS015",MID(Tabla2[[#This Row],[ALUMNO]],1,2),MID(Tabla2[[#This Row],[ALUMNO]],FIND(" ",Tabla2[[#This Row],[ALUMNO]],1)+1,2)),"Aguas")</f>
        <v>AGS015OtVa</v>
      </c>
      <c r="I64" s="7" t="s">
        <v>483</v>
      </c>
      <c r="J64" s="7"/>
      <c r="K64" s="44" t="s">
        <v>145</v>
      </c>
      <c r="L64" s="9" t="s">
        <v>57</v>
      </c>
      <c r="M64" s="32">
        <v>10</v>
      </c>
      <c r="N64" s="23" t="s">
        <v>24</v>
      </c>
      <c r="O64" s="9"/>
      <c r="P64" s="158"/>
      <c r="Q64" s="158"/>
      <c r="R64" s="113" t="s">
        <v>617</v>
      </c>
      <c r="S64" s="11">
        <v>0.5</v>
      </c>
      <c r="T64" s="113" t="s">
        <v>113</v>
      </c>
      <c r="U64" s="113"/>
      <c r="V64" s="113">
        <v>45</v>
      </c>
      <c r="W64" s="142"/>
      <c r="X64" s="29"/>
      <c r="Y64" s="145"/>
      <c r="Z64" s="145"/>
      <c r="AA64" s="145"/>
      <c r="AB64" s="28"/>
      <c r="AC64" s="6">
        <v>41275</v>
      </c>
      <c r="AD64" s="147">
        <f>IF(YEAR(Tabla2[[#This Row],[FECHA DE NACIMIENTO DEL ALUMNO]])&lt;&gt;1900,YEAR(Tabla2[[#This Row],[FECHA DE NACIMIENTO DEL ALUMNO]]),"")</f>
        <v>2013</v>
      </c>
      <c r="AE64" s="18"/>
      <c r="AF64" s="9"/>
      <c r="AG64" s="153"/>
      <c r="AH64" s="71">
        <v>635</v>
      </c>
      <c r="AI64" s="73"/>
      <c r="AJ64" s="53"/>
      <c r="AK64" s="71">
        <v>660</v>
      </c>
      <c r="AL64" s="236">
        <f>IF(Tabla2[[#This Row],[RECIBO ACTUAL]]=0,0,_xlfn.XLOOKUP(CONCATENATE(Tabla2[[#This Row],[CLASE]],Tabla2[[#This Row],[DURACIÓN]]),DevelupeMode!$P$4:$P$10,DevelupeMode!$Q$4:$Q$10,0))</f>
        <v>1490</v>
      </c>
      <c r="AM64" s="21" t="s">
        <v>413</v>
      </c>
      <c r="AN64" s="22"/>
      <c r="AO64">
        <f>_xlfn.XLOOKUP(Tabla2[[#This Row],[CURSO]],DevelupeMode!$T$4:$T$11,DevelupeMode!$U$4:$U$11,AO63+1)</f>
        <v>10</v>
      </c>
      <c r="AP64" s="81"/>
    </row>
    <row r="65" spans="2:42" ht="15" hidden="1" customHeight="1" x14ac:dyDescent="0.25">
      <c r="B65" s="206"/>
      <c r="C65" s="205">
        <f>IFERROR(IF(Tabla2[[#This Row],[Status]]="",0,IF(LEFT(Tabla2[[#This Row],[Status]],4)="Baja",C64,C64+1)),1)</f>
        <v>8</v>
      </c>
      <c r="D65" s="87" t="s">
        <v>148</v>
      </c>
      <c r="E65" s="87" t="str">
        <f>IF(AND(Tabla2[[#This Row],[RECIBO ACTUAL]]="",Tabla2[[#This Row],[Status]]="Activo"),"paguenmelaren","")</f>
        <v/>
      </c>
      <c r="F65" s="87"/>
      <c r="G65" s="183">
        <v>45528</v>
      </c>
      <c r="H65" s="204" t="str">
        <f>IFERROR(CONCATENATE("AGS015",MID(Tabla2[[#This Row],[ALUMNO]],1,2),MID(Tabla2[[#This Row],[ALUMNO]],FIND(" ",Tabla2[[#This Row],[ALUMNO]],1)+1,2)),"Aguas")</f>
        <v>AGS015VaDa</v>
      </c>
      <c r="I65" s="7" t="s">
        <v>263</v>
      </c>
      <c r="J65" s="7">
        <f ca="1">IFERROR(YEAR(TODAY())-Tabla2[[#This Row],[año]],"")</f>
        <v>13</v>
      </c>
      <c r="K65" s="56" t="s">
        <v>83</v>
      </c>
      <c r="L65" s="9" t="s">
        <v>78</v>
      </c>
      <c r="M65" s="9"/>
      <c r="N65" s="9"/>
      <c r="O65" s="9" t="s">
        <v>446</v>
      </c>
      <c r="P65" s="9"/>
      <c r="Q65" s="9"/>
      <c r="R65" s="113" t="s">
        <v>29</v>
      </c>
      <c r="S65" s="11">
        <v>0.72916666666666663</v>
      </c>
      <c r="T65" s="113" t="s">
        <v>334</v>
      </c>
      <c r="U65" s="113"/>
      <c r="V65" s="113">
        <v>50</v>
      </c>
      <c r="W65" s="143"/>
      <c r="X65" s="39" t="s">
        <v>265</v>
      </c>
      <c r="Y65" s="143">
        <v>4494484632</v>
      </c>
      <c r="Z65" s="143"/>
      <c r="AA65" s="143"/>
      <c r="AB65" s="30"/>
      <c r="AC65" s="6">
        <v>41275</v>
      </c>
      <c r="AD65" s="147">
        <f>IF(YEAR(Tabla2[[#This Row],[FECHA DE NACIMIENTO DEL ALUMNO]])&lt;&gt;1900,YEAR(Tabla2[[#This Row],[FECHA DE NACIMIENTO DEL ALUMNO]]),"")</f>
        <v>2013</v>
      </c>
      <c r="AE65" s="14">
        <v>600</v>
      </c>
      <c r="AF65" s="9"/>
      <c r="AG65" s="152"/>
      <c r="AH65" s="71"/>
      <c r="AI65" s="73"/>
      <c r="AJ65" s="9"/>
      <c r="AK65" s="71"/>
      <c r="AL65" s="236">
        <f>IF(Tabla2[[#This Row],[RECIBO ACTUAL]]=0,0,_xlfn.XLOOKUP(CONCATENATE(Tabla2[[#This Row],[CLASE]],Tabla2[[#This Row],[DURACIÓN]]),DevelupeMode!$P$4:$P$10,DevelupeMode!$Q$4:$Q$10,0))</f>
        <v>0</v>
      </c>
      <c r="AM65" s="9"/>
      <c r="AN65" s="9"/>
      <c r="AO65">
        <f>_xlfn.XLOOKUP(Tabla2[[#This Row],[CURSO]],DevelupeMode!$T$4:$T$11,DevelupeMode!$U$4:$U$11,AO64+1)</f>
        <v>6</v>
      </c>
    </row>
    <row r="66" spans="2:42" ht="15" customHeight="1" x14ac:dyDescent="0.25">
      <c r="B66" s="216"/>
      <c r="C66" s="282">
        <f>IFERROR(IF(Tabla2[[#This Row],[Status]]="",0,IF(LEFT(Tabla2[[#This Row],[Status]],4)="Baja",C65,C65+1)),1)</f>
        <v>9</v>
      </c>
      <c r="D66" s="87" t="s">
        <v>19</v>
      </c>
      <c r="E66" s="87" t="str">
        <f>IF(AND(Tabla2[[#This Row],[RECIBO ACTUAL]]="",Tabla2[[#This Row],[Status]]="Activo"),"paguenmelaren","")</f>
        <v/>
      </c>
      <c r="F66" s="87"/>
      <c r="G66" s="182">
        <v>45497</v>
      </c>
      <c r="H66" s="204" t="str">
        <f>IFERROR(CONCATENATE("AGS015",MID(Tabla2[[#This Row],[ALUMNO]],1,2),MID(Tabla2[[#This Row],[ALUMNO]],FIND(" ",Tabla2[[#This Row],[ALUMNO]],1)+1,2)),"Aguas")</f>
        <v>AGS015SeAl</v>
      </c>
      <c r="I66" s="7" t="s">
        <v>478</v>
      </c>
      <c r="J66" s="7">
        <f ca="1">IFERROR(YEAR(TODAY())-Tabla2[[#This Row],[año]],"")</f>
        <v>26</v>
      </c>
      <c r="K66" s="44" t="s">
        <v>145</v>
      </c>
      <c r="L66" s="9" t="s">
        <v>57</v>
      </c>
      <c r="M66" s="9"/>
      <c r="N66" s="9"/>
      <c r="O66" s="9" t="str">
        <f>IF(Tabla2[[#This Row],[MÉTODO]]="Yamaha","Royalty","")</f>
        <v/>
      </c>
      <c r="P66" s="9"/>
      <c r="Q66" s="9"/>
      <c r="R66" s="113" t="s">
        <v>617</v>
      </c>
      <c r="S66" s="11">
        <v>0.53125</v>
      </c>
      <c r="T66" s="113" t="s">
        <v>113</v>
      </c>
      <c r="U66" s="113" t="s">
        <v>390</v>
      </c>
      <c r="V66" s="113">
        <v>45</v>
      </c>
      <c r="W66" s="142">
        <v>4499062594</v>
      </c>
      <c r="X66" s="12" t="s">
        <v>22</v>
      </c>
      <c r="Y66" s="142"/>
      <c r="Z66" s="142"/>
      <c r="AA66" s="142"/>
      <c r="AB66" s="13"/>
      <c r="AC66" s="25">
        <v>36526</v>
      </c>
      <c r="AD66" s="147">
        <f>IF(YEAR(Tabla2[[#This Row],[FECHA DE NACIMIENTO DEL ALUMNO]])&lt;&gt;1900,YEAR(Tabla2[[#This Row],[FECHA DE NACIMIENTO DEL ALUMNO]]),"")</f>
        <v>2000</v>
      </c>
      <c r="AE66" s="20"/>
      <c r="AF66" s="41"/>
      <c r="AG66" s="21"/>
      <c r="AH66" s="71">
        <v>653</v>
      </c>
      <c r="AI66" s="73"/>
      <c r="AJ66" s="41"/>
      <c r="AK66" s="71">
        <v>761</v>
      </c>
      <c r="AL66" s="236">
        <f>IF(Tabla2[[#This Row],[RECIBO ACTUAL]]=0,0,_xlfn.XLOOKUP(CONCATENATE(Tabla2[[#This Row],[CLASE]],Tabla2[[#This Row],[DURACIÓN]]),DevelupeMode!$P$4:$P$10,DevelupeMode!$Q$4:$Q$10,0))</f>
        <v>1490</v>
      </c>
      <c r="AM66" s="21" t="s">
        <v>564</v>
      </c>
      <c r="AN66" s="22"/>
      <c r="AO66">
        <f>_xlfn.XLOOKUP(Tabla2[[#This Row],[CURSO]],DevelupeMode!$T$4:$T$11,DevelupeMode!$U$4:$U$11,AO65+1)</f>
        <v>10</v>
      </c>
      <c r="AP66" s="81"/>
    </row>
    <row r="67" spans="2:42" ht="15" hidden="1" customHeight="1" x14ac:dyDescent="0.25">
      <c r="B67" s="206"/>
      <c r="C67" s="205">
        <f>IFERROR(IF(Tabla2[[#This Row],[Status]]="",0,IF(LEFT(Tabla2[[#This Row],[Status]],4)="Baja",C66,C66+1)),1)</f>
        <v>9</v>
      </c>
      <c r="D67" s="87" t="s">
        <v>148</v>
      </c>
      <c r="E67" s="87" t="str">
        <f>IF(AND(Tabla2[[#This Row],[RECIBO ACTUAL]]="",Tabla2[[#This Row],[Status]]="Activo"),"paguenmelaren","")</f>
        <v/>
      </c>
      <c r="F67" s="87"/>
      <c r="G67" s="182">
        <v>45620</v>
      </c>
      <c r="H67" s="204" t="str">
        <f>IFERROR(CONCATENATE("AGS015",MID(Tabla2[[#This Row],[ALUMNO]],1,2),MID(Tabla2[[#This Row],[ALUMNO]],FIND(" ",Tabla2[[#This Row],[ALUMNO]],1)+1,2)),"Aguas")</f>
        <v>AGS015FrZo</v>
      </c>
      <c r="I67" s="7" t="s">
        <v>397</v>
      </c>
      <c r="J67" s="7">
        <f ca="1">IFERROR(YEAR(TODAY())-Tabla2[[#This Row],[año]],"")</f>
        <v>17</v>
      </c>
      <c r="K67" s="56" t="s">
        <v>83</v>
      </c>
      <c r="L67" s="9" t="s">
        <v>78</v>
      </c>
      <c r="M67" s="9"/>
      <c r="N67" s="9"/>
      <c r="O67" s="9"/>
      <c r="P67" s="9"/>
      <c r="Q67" s="9"/>
      <c r="R67" s="113" t="s">
        <v>58</v>
      </c>
      <c r="S67" s="11">
        <v>0.66666666666666663</v>
      </c>
      <c r="T67" s="113" t="s">
        <v>334</v>
      </c>
      <c r="U67" s="113"/>
      <c r="V67" s="113">
        <v>50</v>
      </c>
      <c r="W67" s="142" t="s">
        <v>403</v>
      </c>
      <c r="X67" s="28" t="s">
        <v>404</v>
      </c>
      <c r="Y67" s="142" t="s">
        <v>405</v>
      </c>
      <c r="Z67" s="142"/>
      <c r="AA67" s="142"/>
      <c r="AB67" s="30"/>
      <c r="AC67" s="6">
        <v>39814</v>
      </c>
      <c r="AD67" s="147">
        <f>IF(YEAR(Tabla2[[#This Row],[FECHA DE NACIMIENTO DEL ALUMNO]])&lt;&gt;1900,YEAR(Tabla2[[#This Row],[FECHA DE NACIMIENTO DEL ALUMNO]]),"")</f>
        <v>2009</v>
      </c>
      <c r="AE67" s="14"/>
      <c r="AF67" s="15"/>
      <c r="AG67" s="152"/>
      <c r="AH67" s="17"/>
      <c r="AI67" s="18"/>
      <c r="AJ67" s="19"/>
      <c r="AK67" s="17"/>
      <c r="AL67" s="236">
        <f>IF(Tabla2[[#This Row],[RECIBO ACTUAL]]=0,0,_xlfn.XLOOKUP(CONCATENATE(Tabla2[[#This Row],[CLASE]],Tabla2[[#This Row],[DURACIÓN]]),DevelupeMode!$P$4:$P$10,DevelupeMode!$Q$4:$Q$10,0))</f>
        <v>0</v>
      </c>
      <c r="AM67" s="21"/>
      <c r="AN67" s="22"/>
      <c r="AO67">
        <f>_xlfn.XLOOKUP(Tabla2[[#This Row],[CURSO]],DevelupeMode!$T$4:$T$11,DevelupeMode!$U$4:$U$11,AO66+1)</f>
        <v>6</v>
      </c>
    </row>
    <row r="68" spans="2:42" ht="15" hidden="1" customHeight="1" x14ac:dyDescent="0.25">
      <c r="B68" s="206"/>
      <c r="C68" s="205">
        <f>IFERROR(IF(Tabla2[[#This Row],[Status]]="",0,IF(LEFT(Tabla2[[#This Row],[Status]],4)="Baja",C67,C67+1)),1)</f>
        <v>9</v>
      </c>
      <c r="D68" s="87" t="s">
        <v>148</v>
      </c>
      <c r="E68" s="87" t="str">
        <f>IF(AND(Tabla2[[#This Row],[RECIBO ACTUAL]]="",Tabla2[[#This Row],[Status]]="Activo"),"paguenmelaren","")</f>
        <v/>
      </c>
      <c r="F68" s="87"/>
      <c r="G68" s="182">
        <v>45665</v>
      </c>
      <c r="H68" s="204" t="str">
        <f>IFERROR(CONCATENATE("AGS015",MID(Tabla2[[#This Row],[ALUMNO]],1,2),MID(Tabla2[[#This Row],[ALUMNO]],FIND(" ",Tabla2[[#This Row],[ALUMNO]],1)+1,2)),"Aguas")</f>
        <v>AGS015AnJi</v>
      </c>
      <c r="I68" s="7" t="s">
        <v>431</v>
      </c>
      <c r="J68" s="7">
        <f ca="1">IFERROR(YEAR(TODAY())-Tabla2[[#This Row],[año]],"")</f>
        <v>24</v>
      </c>
      <c r="K68" s="56" t="s">
        <v>83</v>
      </c>
      <c r="L68" s="9" t="s">
        <v>78</v>
      </c>
      <c r="M68" s="9"/>
      <c r="N68" s="9"/>
      <c r="O68" s="9" t="s">
        <v>447</v>
      </c>
      <c r="P68" s="9"/>
      <c r="Q68" s="9"/>
      <c r="R68" s="113" t="s">
        <v>58</v>
      </c>
      <c r="S68" s="11">
        <v>0.66666666666666663</v>
      </c>
      <c r="T68" s="113" t="s">
        <v>334</v>
      </c>
      <c r="U68" s="113"/>
      <c r="V68" s="113">
        <v>50</v>
      </c>
      <c r="W68" s="142" t="s">
        <v>432</v>
      </c>
      <c r="X68" s="28"/>
      <c r="Y68" s="142"/>
      <c r="Z68" s="142"/>
      <c r="AA68" s="142"/>
      <c r="AB68" s="30"/>
      <c r="AC68" s="6">
        <v>37257</v>
      </c>
      <c r="AD68" s="147">
        <f>IF(YEAR(Tabla2[[#This Row],[FECHA DE NACIMIENTO DEL ALUMNO]])&lt;&gt;1900,YEAR(Tabla2[[#This Row],[FECHA DE NACIMIENTO DEL ALUMNO]]),"")</f>
        <v>2002</v>
      </c>
      <c r="AE68" s="14"/>
      <c r="AF68" s="15"/>
      <c r="AG68" s="152"/>
      <c r="AH68" s="17"/>
      <c r="AI68" s="18"/>
      <c r="AJ68" s="19"/>
      <c r="AK68" s="17"/>
      <c r="AL68" s="236">
        <f>IF(Tabla2[[#This Row],[RECIBO ACTUAL]]=0,0,_xlfn.XLOOKUP(CONCATENATE(Tabla2[[#This Row],[CLASE]],Tabla2[[#This Row],[DURACIÓN]]),DevelupeMode!$P$4:$P$10,DevelupeMode!$Q$4:$Q$10,0))</f>
        <v>0</v>
      </c>
      <c r="AM68" s="21"/>
      <c r="AN68" s="22"/>
      <c r="AO68">
        <f>_xlfn.XLOOKUP(Tabla2[[#This Row],[CURSO]],DevelupeMode!$T$4:$T$11,DevelupeMode!$U$4:$U$11,AO67+1)</f>
        <v>6</v>
      </c>
    </row>
    <row r="69" spans="2:42" ht="15" hidden="1" customHeight="1" x14ac:dyDescent="0.25">
      <c r="B69" s="206"/>
      <c r="C69" s="205">
        <f>IFERROR(IF(Tabla2[[#This Row],[Status]]="",0,IF(LEFT(Tabla2[[#This Row],[Status]],4)="Baja",C68,C68+1)),1)</f>
        <v>9</v>
      </c>
      <c r="D69" s="87" t="s">
        <v>376</v>
      </c>
      <c r="E69" s="87" t="str">
        <f>IF(AND(Tabla2[[#This Row],[RECIBO ACTUAL]]="",Tabla2[[#This Row],[Status]]="Activo"),"paguenmelaren","")</f>
        <v/>
      </c>
      <c r="F69" s="87"/>
      <c r="G69" s="182"/>
      <c r="H69" s="204" t="str">
        <f>IFERROR(CONCATENATE("AGS015",MID(Tabla2[[#This Row],[ALUMNO]],1,2),MID(Tabla2[[#This Row],[ALUMNO]],FIND(" ",Tabla2[[#This Row],[ALUMNO]],1)+1,2)),"Aguas")</f>
        <v>AGS015DeMa</v>
      </c>
      <c r="I69" s="7" t="s">
        <v>250</v>
      </c>
      <c r="J69" s="7" t="str">
        <f ca="1">IFERROR(YEAR(TODAY())-Tabla2[[#This Row],[año]],"")</f>
        <v/>
      </c>
      <c r="K69" s="56" t="s">
        <v>83</v>
      </c>
      <c r="L69" s="9" t="s">
        <v>78</v>
      </c>
      <c r="M69" s="9">
        <v>1</v>
      </c>
      <c r="N69" s="9" t="s">
        <v>79</v>
      </c>
      <c r="O69" s="9" t="str">
        <f>IF(Tabla2[[#This Row],[MÉTODO]]="Yamaha","Royalty","")</f>
        <v/>
      </c>
      <c r="P69" s="9"/>
      <c r="Q69" s="9"/>
      <c r="R69" s="113" t="s">
        <v>58</v>
      </c>
      <c r="S69" s="11">
        <v>0.66666666666666663</v>
      </c>
      <c r="T69" s="113" t="s">
        <v>113</v>
      </c>
      <c r="U69" s="113"/>
      <c r="V69" s="113">
        <v>60</v>
      </c>
      <c r="W69" s="12"/>
      <c r="X69" s="12" t="s">
        <v>98</v>
      </c>
      <c r="Y69" s="12" t="s">
        <v>99</v>
      </c>
      <c r="Z69" s="12"/>
      <c r="AA69" s="12"/>
      <c r="AB69" s="28"/>
      <c r="AC69" s="28"/>
      <c r="AD69" s="147" t="str">
        <f>IF(YEAR(Tabla2[[#This Row],[FECHA DE NACIMIENTO DEL ALUMNO]])&lt;&gt;1900,YEAR(Tabla2[[#This Row],[FECHA DE NACIMIENTO DEL ALUMNO]]),"")</f>
        <v/>
      </c>
      <c r="AE69" s="14"/>
      <c r="AF69" s="15"/>
      <c r="AG69" s="14"/>
      <c r="AH69" s="17"/>
      <c r="AI69" s="20"/>
      <c r="AJ69" s="55"/>
      <c r="AK69" s="17"/>
      <c r="AL69" s="236">
        <f>IF(Tabla2[[#This Row],[RECIBO ACTUAL]]=0,0,_xlfn.XLOOKUP(CONCATENATE(Tabla2[[#This Row],[CLASE]],Tabla2[[#This Row],[DURACIÓN]]),DevelupeMode!$P$4:$P$10,DevelupeMode!$Q$4:$Q$10,0))</f>
        <v>0</v>
      </c>
      <c r="AM69" s="21"/>
      <c r="AN69" s="22"/>
      <c r="AO69">
        <f>_xlfn.XLOOKUP(Tabla2[[#This Row],[CURSO]],DevelupeMode!$T$4:$T$11,DevelupeMode!$U$4:$U$11,AO68+1)</f>
        <v>6</v>
      </c>
    </row>
    <row r="70" spans="2:42" ht="15" hidden="1" customHeight="1" x14ac:dyDescent="0.25">
      <c r="B70" s="216"/>
      <c r="C70" s="282">
        <f>IFERROR(IF(Tabla2[[#This Row],[Status]]="",0,IF(LEFT(Tabla2[[#This Row],[Status]],4)="Baja",C69,C69+1)),1)</f>
        <v>9</v>
      </c>
      <c r="D70" s="87" t="s">
        <v>148</v>
      </c>
      <c r="E70" s="87" t="str">
        <f>IF(AND(Tabla2[[#This Row],[RECIBO ACTUAL]]="",Tabla2[[#This Row],[Status]]="Activo"),"paguenmelaren","")</f>
        <v/>
      </c>
      <c r="F70" s="87">
        <v>-1</v>
      </c>
      <c r="G70" s="182">
        <v>46087</v>
      </c>
      <c r="H70" s="204" t="str">
        <f>IFERROR(CONCATENATE("AGS015",MID(Tabla2[[#This Row],[ALUMNO]],1,2),MID(Tabla2[[#This Row],[ALUMNO]],FIND(" ",Tabla2[[#This Row],[ALUMNO]],1)+1,2)),"Aguas")</f>
        <v>AGS015JaAl</v>
      </c>
      <c r="I70" s="7" t="s">
        <v>620</v>
      </c>
      <c r="J70" s="7">
        <f ca="1">IFERROR(YEAR(TODAY())-Tabla2[[#This Row],[año]],"")</f>
        <v>14</v>
      </c>
      <c r="K70" s="44" t="s">
        <v>145</v>
      </c>
      <c r="L70" s="9" t="s">
        <v>618</v>
      </c>
      <c r="M70" s="9"/>
      <c r="N70" s="24"/>
      <c r="O70" s="9"/>
      <c r="P70" s="9"/>
      <c r="Q70" s="9"/>
      <c r="R70" s="266" t="s">
        <v>616</v>
      </c>
      <c r="S70" s="11">
        <v>0.70833333333333337</v>
      </c>
      <c r="T70" s="113" t="s">
        <v>618</v>
      </c>
      <c r="U70" s="113"/>
      <c r="V70" s="113">
        <v>50</v>
      </c>
      <c r="W70" s="142"/>
      <c r="X70" s="12"/>
      <c r="Y70" s="142"/>
      <c r="Z70" s="142" t="s">
        <v>466</v>
      </c>
      <c r="AA70" s="142" t="s">
        <v>465</v>
      </c>
      <c r="AB70" s="30"/>
      <c r="AC70" s="25">
        <v>40909</v>
      </c>
      <c r="AD70" s="147">
        <f>IF(YEAR(Tabla2[[#This Row],[FECHA DE NACIMIENTO DEL ALUMNO]])&lt;&gt;1900,YEAR(Tabla2[[#This Row],[FECHA DE NACIMIENTO DEL ALUMNO]]),"")</f>
        <v>2012</v>
      </c>
      <c r="AE70" s="14"/>
      <c r="AF70" s="15"/>
      <c r="AG70" s="152"/>
      <c r="AH70" s="71">
        <v>642</v>
      </c>
      <c r="AI70" s="73"/>
      <c r="AJ70" s="19"/>
      <c r="AK70" s="71">
        <v>657</v>
      </c>
      <c r="AL70" s="236">
        <v>350</v>
      </c>
      <c r="AM70" s="21" t="s">
        <v>603</v>
      </c>
      <c r="AN70" s="22"/>
      <c r="AO70">
        <f>_xlfn.XLOOKUP(Tabla2[[#This Row],[CURSO]],DevelupeMode!$T$4:$T$11,DevelupeMode!$U$4:$U$11,AO69+1)</f>
        <v>14</v>
      </c>
      <c r="AP70" s="81"/>
    </row>
    <row r="71" spans="2:42" ht="15" customHeight="1" x14ac:dyDescent="0.25">
      <c r="B71" s="216"/>
      <c r="C71" s="282">
        <f>IFERROR(IF(Tabla2[[#This Row],[Status]]="",0,IF(LEFT(Tabla2[[#This Row],[Status]],4)="Baja",C70,C70+1)),1)</f>
        <v>10</v>
      </c>
      <c r="D71" s="87" t="s">
        <v>19</v>
      </c>
      <c r="E71" s="87" t="str">
        <f>IF(AND(Tabla2[[#This Row],[RECIBO ACTUAL]]="",Tabla2[[#This Row],[Status]]="Activo"),"paguenmelaren","")</f>
        <v/>
      </c>
      <c r="F71" s="87"/>
      <c r="G71" s="182">
        <v>46087</v>
      </c>
      <c r="H71" s="204" t="str">
        <f>IFERROR(CONCATENATE("AGS015",MID(Tabla2[[#This Row],[ALUMNO]],1,2),MID(Tabla2[[#This Row],[ALUMNO]],FIND(" ",Tabla2[[#This Row],[ALUMNO]],1)+1,2)),"Aguas")</f>
        <v>AGS015JuCa</v>
      </c>
      <c r="I71" s="7" t="s">
        <v>621</v>
      </c>
      <c r="J71" s="7">
        <f ca="1">IFERROR(YEAR(TODAY())-Tabla2[[#This Row],[año]],"")</f>
        <v>13</v>
      </c>
      <c r="K71" s="44" t="s">
        <v>145</v>
      </c>
      <c r="L71" s="9" t="s">
        <v>618</v>
      </c>
      <c r="M71" s="9">
        <v>9</v>
      </c>
      <c r="N71" s="24" t="s">
        <v>24</v>
      </c>
      <c r="O71" s="9"/>
      <c r="P71" s="22">
        <v>45752</v>
      </c>
      <c r="Q71" s="9"/>
      <c r="R71" s="266" t="s">
        <v>616</v>
      </c>
      <c r="S71" s="11">
        <v>0.70833333333333337</v>
      </c>
      <c r="T71" s="113" t="s">
        <v>618</v>
      </c>
      <c r="U71" s="113"/>
      <c r="V71" s="113">
        <v>50</v>
      </c>
      <c r="W71" s="142">
        <v>4491123817</v>
      </c>
      <c r="X71" s="50" t="s">
        <v>105</v>
      </c>
      <c r="Y71" s="142">
        <v>4491123817</v>
      </c>
      <c r="Z71" s="142"/>
      <c r="AA71" s="142"/>
      <c r="AB71" s="30" t="s">
        <v>106</v>
      </c>
      <c r="AC71" s="6">
        <v>41322</v>
      </c>
      <c r="AD71" s="147">
        <f>IF(YEAR(Tabla2[[#This Row],[FECHA DE NACIMIENTO DEL ALUMNO]])&lt;&gt;1900,YEAR(Tabla2[[#This Row],[FECHA DE NACIMIENTO DEL ALUMNO]]),"")</f>
        <v>2013</v>
      </c>
      <c r="AE71" s="67">
        <v>600</v>
      </c>
      <c r="AF71" s="23" t="s">
        <v>107</v>
      </c>
      <c r="AG71" s="155">
        <v>300</v>
      </c>
      <c r="AH71" s="71">
        <v>632</v>
      </c>
      <c r="AI71" s="73"/>
      <c r="AJ71" s="23"/>
      <c r="AK71" s="71">
        <v>663</v>
      </c>
      <c r="AL71" s="236">
        <f>IF(Tabla2[[#This Row],[RECIBO ACTUAL]]=0,0,_xlfn.XLOOKUP(CONCATENATE(Tabla2[[#This Row],[CLASE]],Tabla2[[#This Row],[DURACIÓN]]),DevelupeMode!$P$4:$P$10,DevelupeMode!$Q$4:$Q$10,0))</f>
        <v>700</v>
      </c>
      <c r="AM71" s="9" t="s">
        <v>56</v>
      </c>
      <c r="AN71" s="34"/>
      <c r="AO71" s="81">
        <f>_xlfn.XLOOKUP(Tabla2[[#This Row],[CURSO]],DevelupeMode!$T$4:$T$11,DevelupeMode!$U$4:$U$11,AO70+1)</f>
        <v>14</v>
      </c>
      <c r="AP71" s="81"/>
    </row>
    <row r="72" spans="2:42" ht="15" hidden="1" customHeight="1" x14ac:dyDescent="0.25">
      <c r="B72" s="206"/>
      <c r="C72" s="205">
        <f>IFERROR(IF(Tabla2[[#This Row],[Status]]="",0,IF(LEFT(Tabla2[[#This Row],[Status]],4)="Baja",C71,C71+1)),1)</f>
        <v>10</v>
      </c>
      <c r="D72" s="87" t="s">
        <v>148</v>
      </c>
      <c r="E72" s="88" t="str">
        <f>IF(AND(Tabla2[[#This Row],[RECIBO ACTUAL]]="",Tabla2[[#This Row],[Status]]="Activo"),"paguenmelaren","")</f>
        <v/>
      </c>
      <c r="F72" s="87"/>
      <c r="G72" s="182">
        <v>45838</v>
      </c>
      <c r="H72" s="204" t="str">
        <f>IFERROR(CONCATENATE("AGS015",MID(Tabla2[[#This Row],[ALUMNO]],1,2),MID(Tabla2[[#This Row],[ALUMNO]],FIND(" ",Tabla2[[#This Row],[ALUMNO]],1)+1,2)),"Aguas")</f>
        <v>AGS015ErLi</v>
      </c>
      <c r="I72" s="7" t="s">
        <v>518</v>
      </c>
      <c r="J72" s="7">
        <f ca="1">IFERROR(YEAR(TODAY())-Tabla2[[#This Row],[año]],"")</f>
        <v>24</v>
      </c>
      <c r="K72" s="56" t="s">
        <v>83</v>
      </c>
      <c r="L72" s="9" t="s">
        <v>78</v>
      </c>
      <c r="M72" s="158">
        <v>10</v>
      </c>
      <c r="N72" s="240" t="s">
        <v>24</v>
      </c>
      <c r="O72" s="158" t="s">
        <v>444</v>
      </c>
      <c r="P72" s="22"/>
      <c r="Q72" s="9"/>
      <c r="R72" s="176" t="s">
        <v>58</v>
      </c>
      <c r="S72" s="11">
        <v>0.67708333333333337</v>
      </c>
      <c r="T72" s="113" t="s">
        <v>113</v>
      </c>
      <c r="U72" s="113" t="s">
        <v>390</v>
      </c>
      <c r="V72" s="176">
        <v>45</v>
      </c>
      <c r="W72" s="142" t="s">
        <v>526</v>
      </c>
      <c r="X72" s="231"/>
      <c r="Y72" s="142"/>
      <c r="Z72" s="142"/>
      <c r="AA72" s="142"/>
      <c r="AB72" s="208" t="s">
        <v>85</v>
      </c>
      <c r="AC72" s="6">
        <v>37257</v>
      </c>
      <c r="AD72" s="147">
        <f>IF(YEAR(Tabla2[[#This Row],[FECHA DE NACIMIENTO DEL ALUMNO]])&lt;&gt;1900,YEAR(Tabla2[[#This Row],[FECHA DE NACIMIENTO DEL ALUMNO]]),"")</f>
        <v>2002</v>
      </c>
      <c r="AE72" s="14"/>
      <c r="AF72" s="15"/>
      <c r="AG72" s="156"/>
      <c r="AH72" s="71"/>
      <c r="AI72" s="73"/>
      <c r="AJ72" s="19"/>
      <c r="AK72" s="71"/>
      <c r="AL72" s="236">
        <f>IF(Tabla2[[#This Row],[RECIBO ACTUAL]]=0,0,_xlfn.XLOOKUP(CONCATENATE(Tabla2[[#This Row],[CLASE]],Tabla2[[#This Row],[DURACIÓN]]),DevelupeMode!$P$4:$P$10,DevelupeMode!$Q$4:$Q$10,0))</f>
        <v>0</v>
      </c>
      <c r="AM72" s="9"/>
      <c r="AN72" s="22"/>
      <c r="AO72">
        <f>_xlfn.XLOOKUP(Tabla2[[#This Row],[CURSO]],DevelupeMode!$T$4:$T$11,DevelupeMode!$U$4:$U$11,AO71+1)</f>
        <v>6</v>
      </c>
    </row>
    <row r="73" spans="2:42" ht="15" customHeight="1" x14ac:dyDescent="0.25">
      <c r="B73" s="216"/>
      <c r="C73" s="282">
        <f>IFERROR(IF(Tabla2[[#This Row],[Status]]="",0,IF(LEFT(Tabla2[[#This Row],[Status]],4)="Baja",C72,C72+1)),1)</f>
        <v>11</v>
      </c>
      <c r="D73" s="87" t="s">
        <v>19</v>
      </c>
      <c r="E73" s="87" t="str">
        <f>IF(AND(Tabla2[[#This Row],[RECIBO ACTUAL]]="",Tabla2[[#This Row],[Status]]="Activo"),"paguenmelaren","")</f>
        <v/>
      </c>
      <c r="F73" s="87"/>
      <c r="G73" s="182">
        <v>45711</v>
      </c>
      <c r="H73" s="204" t="str">
        <f>IFERROR(CONCATENATE("AGS015",MID(Tabla2[[#This Row],[ALUMNO]],1,2),MID(Tabla2[[#This Row],[ALUMNO]],FIND(" ",Tabla2[[#This Row],[ALUMNO]],1)+1,2)),"Aguas")</f>
        <v>AGS015SoRo</v>
      </c>
      <c r="I73" s="7" t="s">
        <v>614</v>
      </c>
      <c r="J73" s="7">
        <f ca="1">IFERROR(YEAR(TODAY())-Tabla2[[#This Row],[año]],"")</f>
        <v>15</v>
      </c>
      <c r="K73" s="44" t="s">
        <v>145</v>
      </c>
      <c r="L73" s="9" t="s">
        <v>618</v>
      </c>
      <c r="M73" s="158">
        <v>1</v>
      </c>
      <c r="N73" s="158"/>
      <c r="O73" s="158"/>
      <c r="P73" s="22"/>
      <c r="Q73" s="9"/>
      <c r="R73" s="113" t="s">
        <v>616</v>
      </c>
      <c r="S73" s="11">
        <v>0.70833333333333337</v>
      </c>
      <c r="T73" s="113" t="s">
        <v>618</v>
      </c>
      <c r="U73" s="113"/>
      <c r="V73" s="113">
        <v>50</v>
      </c>
      <c r="W73" s="142"/>
      <c r="X73" s="244" t="s">
        <v>328</v>
      </c>
      <c r="Y73" s="145">
        <v>4491890575</v>
      </c>
      <c r="Z73" s="145" t="s">
        <v>329</v>
      </c>
      <c r="AA73" s="145">
        <v>4491420728</v>
      </c>
      <c r="AB73" s="231"/>
      <c r="AC73" s="6">
        <v>40871</v>
      </c>
      <c r="AD73" s="147">
        <f>IF(YEAR(Tabla2[[#This Row],[FECHA DE NACIMIENTO DEL ALUMNO]])&lt;&gt;1900,YEAR(Tabla2[[#This Row],[FECHA DE NACIMIENTO DEL ALUMNO]]),"")</f>
        <v>2011</v>
      </c>
      <c r="AE73" s="18"/>
      <c r="AF73" s="9"/>
      <c r="AG73" s="153"/>
      <c r="AH73" s="71"/>
      <c r="AI73" s="228"/>
      <c r="AJ73" s="53"/>
      <c r="AK73" s="71">
        <v>655</v>
      </c>
      <c r="AL73" s="236">
        <v>350</v>
      </c>
      <c r="AM73" s="21" t="s">
        <v>56</v>
      </c>
      <c r="AN73" s="22"/>
      <c r="AO73" s="81">
        <f>_xlfn.XLOOKUP(Tabla2[[#This Row],[CURSO]],DevelupeMode!$T$4:$T$11,DevelupeMode!$U$4:$U$11,AO72+1)</f>
        <v>14</v>
      </c>
      <c r="AP73" s="81"/>
    </row>
    <row r="74" spans="2:42" ht="15" hidden="1" customHeight="1" x14ac:dyDescent="0.25">
      <c r="B74" s="206"/>
      <c r="C74" s="205">
        <f>IFERROR(IF(Tabla2[[#This Row],[Status]]="",0,IF(LEFT(Tabla2[[#This Row],[Status]],4)="Baja",C73,C73+1)),1)</f>
        <v>11</v>
      </c>
      <c r="D74" s="87" t="s">
        <v>336</v>
      </c>
      <c r="E74" s="87" t="str">
        <f>IF(AND(Tabla2[[#This Row],[RECIBO ACTUAL]]="",Tabla2[[#This Row],[Status]]="Activo"),"paguenmelaren","")</f>
        <v/>
      </c>
      <c r="F74" s="87"/>
      <c r="G74" s="182">
        <v>45167</v>
      </c>
      <c r="H74" s="204" t="str">
        <f>IFERROR(CONCATENATE("AGS015",MID(Tabla2[[#This Row],[ALUMNO]],1,2),MID(Tabla2[[#This Row],[ALUMNO]],FIND(" ",Tabla2[[#This Row],[ALUMNO]],1)+1,2)),"Aguas")</f>
        <v>AGS015VaHe</v>
      </c>
      <c r="I74" s="7" t="s">
        <v>149</v>
      </c>
      <c r="J74" s="7">
        <f ca="1">IFERROR(YEAR(TODAY())-Tabla2[[#This Row],[año]],"")</f>
        <v>19</v>
      </c>
      <c r="K74" s="56" t="s">
        <v>83</v>
      </c>
      <c r="L74" s="9" t="s">
        <v>78</v>
      </c>
      <c r="M74" s="9">
        <v>1</v>
      </c>
      <c r="N74" s="9"/>
      <c r="O74" s="9" t="str">
        <f>IF(Tabla2[[#This Row],[MÉTODO]]="Yamaha","Royalty","")</f>
        <v/>
      </c>
      <c r="P74" s="9"/>
      <c r="Q74" s="9"/>
      <c r="R74" s="113" t="s">
        <v>58</v>
      </c>
      <c r="S74" s="11">
        <v>0.77083333333333337</v>
      </c>
      <c r="T74" s="111" t="s">
        <v>25</v>
      </c>
      <c r="U74" s="113"/>
      <c r="V74" s="113">
        <v>50</v>
      </c>
      <c r="W74" s="12" t="s">
        <v>86</v>
      </c>
      <c r="X74" s="39" t="s">
        <v>87</v>
      </c>
      <c r="Y74" s="39" t="s">
        <v>88</v>
      </c>
      <c r="Z74" s="39"/>
      <c r="AA74" s="39"/>
      <c r="AB74" s="13" t="s">
        <v>89</v>
      </c>
      <c r="AC74" s="25">
        <v>39110</v>
      </c>
      <c r="AD74" s="147">
        <f>IF(YEAR(Tabla2[[#This Row],[FECHA DE NACIMIENTO DEL ALUMNO]])&lt;&gt;1900,YEAR(Tabla2[[#This Row],[FECHA DE NACIMIENTO DEL ALUMNO]]),"")</f>
        <v>2007</v>
      </c>
      <c r="AE74" s="14"/>
      <c r="AF74" s="15"/>
      <c r="AG74" s="16"/>
      <c r="AH74" s="17"/>
      <c r="AI74" s="20"/>
      <c r="AJ74" s="19"/>
      <c r="AK74" s="17"/>
      <c r="AL74" s="236">
        <f>IF(Tabla2[[#This Row],[RECIBO ACTUAL]]=0,0,_xlfn.XLOOKUP(CONCATENATE(Tabla2[[#This Row],[CLASE]],Tabla2[[#This Row],[DURACIÓN]]),DevelupeMode!$P$4:$P$10,DevelupeMode!$Q$4:$Q$10,0))</f>
        <v>0</v>
      </c>
      <c r="AM74" s="9"/>
      <c r="AN74" s="22"/>
      <c r="AO74">
        <f>_xlfn.XLOOKUP(Tabla2[[#This Row],[CURSO]],DevelupeMode!$T$4:$T$11,DevelupeMode!$U$4:$U$11,AO73+1)</f>
        <v>6</v>
      </c>
    </row>
    <row r="75" spans="2:42" ht="15" hidden="1" customHeight="1" x14ac:dyDescent="0.25">
      <c r="B75" s="206"/>
      <c r="C75" s="205">
        <f>IFERROR(IF(Tabla2[[#This Row],[Status]]="",0,IF(LEFT(Tabla2[[#This Row],[Status]],4)="Baja",C74,C74+1)),1)</f>
        <v>11</v>
      </c>
      <c r="D75" s="88" t="s">
        <v>148</v>
      </c>
      <c r="E75" s="87" t="str">
        <f>IF(AND(Tabla2[[#This Row],[RECIBO ACTUAL]]="",Tabla2[[#This Row],[Status]]="Activo"),"paguenmelaren","")</f>
        <v/>
      </c>
      <c r="F75" s="87"/>
      <c r="G75" s="182">
        <v>45467</v>
      </c>
      <c r="H75" s="204" t="str">
        <f>IFERROR(CONCATENATE("AGS015",MID(Tabla2[[#This Row],[ALUMNO]],1,2),MID(Tabla2[[#This Row],[ALUMNO]],FIND(" ",Tabla2[[#This Row],[ALUMNO]],1)+1,2)),"Aguas")</f>
        <v>AGS015ArGr</v>
      </c>
      <c r="I75" s="7" t="s">
        <v>201</v>
      </c>
      <c r="J75" s="7">
        <f ca="1">IFERROR(YEAR(TODAY())-Tabla2[[#This Row],[año]],"")</f>
        <v>21</v>
      </c>
      <c r="K75" s="56" t="s">
        <v>83</v>
      </c>
      <c r="L75" s="9" t="s">
        <v>78</v>
      </c>
      <c r="M75" s="9">
        <v>10</v>
      </c>
      <c r="N75" s="24"/>
      <c r="O75" s="9" t="s">
        <v>444</v>
      </c>
      <c r="P75" s="9"/>
      <c r="Q75" s="9"/>
      <c r="R75" s="113" t="s">
        <v>58</v>
      </c>
      <c r="S75" s="11">
        <v>0.73958333333333337</v>
      </c>
      <c r="T75" s="113" t="s">
        <v>113</v>
      </c>
      <c r="U75" s="113" t="s">
        <v>390</v>
      </c>
      <c r="V75" s="113">
        <v>45</v>
      </c>
      <c r="W75" s="142">
        <v>4495840250</v>
      </c>
      <c r="X75" s="12" t="s">
        <v>100</v>
      </c>
      <c r="Y75" s="142">
        <v>4492155904</v>
      </c>
      <c r="Z75" s="142"/>
      <c r="AA75" s="142"/>
      <c r="AB75" s="13" t="s">
        <v>101</v>
      </c>
      <c r="AC75" s="25">
        <v>38486</v>
      </c>
      <c r="AD75" s="147">
        <f>IF(YEAR(Tabla2[[#This Row],[FECHA DE NACIMIENTO DEL ALUMNO]])&lt;&gt;1900,YEAR(Tabla2[[#This Row],[FECHA DE NACIMIENTO DEL ALUMNO]]),"")</f>
        <v>2005</v>
      </c>
      <c r="AE75" s="14"/>
      <c r="AF75" s="15"/>
      <c r="AG75" s="152"/>
      <c r="AH75" s="71"/>
      <c r="AI75" s="73"/>
      <c r="AJ75" s="19"/>
      <c r="AK75" s="71"/>
      <c r="AL75" s="236">
        <f>IF(Tabla2[[#This Row],[RECIBO ACTUAL]]=0,0,_xlfn.XLOOKUP(CONCATENATE(Tabla2[[#This Row],[CLASE]],Tabla2[[#This Row],[DURACIÓN]]),DevelupeMode!$P$4:$P$10,DevelupeMode!$Q$4:$Q$10,0))</f>
        <v>0</v>
      </c>
      <c r="AM75" s="21"/>
      <c r="AN75" s="22"/>
      <c r="AO75">
        <f>_xlfn.XLOOKUP(Tabla2[[#This Row],[CURSO]],DevelupeMode!$T$4:$T$11,DevelupeMode!$U$4:$U$11,AO74+1)</f>
        <v>6</v>
      </c>
    </row>
    <row r="76" spans="2:42" ht="15" hidden="1" customHeight="1" x14ac:dyDescent="0.25">
      <c r="B76" s="206"/>
      <c r="C76" s="205">
        <f>IFERROR(IF(Tabla2[[#This Row],[Status]]="",0,IF(LEFT(Tabla2[[#This Row],[Status]],4)="Baja",C75,C75+1)),1)</f>
        <v>11</v>
      </c>
      <c r="D76" s="87" t="s">
        <v>148</v>
      </c>
      <c r="E76" s="87" t="str">
        <f>IF(AND(Tabla2[[#This Row],[RECIBO ACTUAL]]="",Tabla2[[#This Row],[Status]]="Activo"),"paguenmelaren","")</f>
        <v/>
      </c>
      <c r="F76" s="215"/>
      <c r="G76" s="182">
        <v>45650</v>
      </c>
      <c r="H76" s="204" t="str">
        <f>IFERROR(CONCATENATE("AGS015",MID(Tabla2[[#This Row],[ALUMNO]],1,2),MID(Tabla2[[#This Row],[ALUMNO]],FIND(" ",Tabla2[[#This Row],[ALUMNO]],1)+1,2)),"Aguas")</f>
        <v>AGS015JuDa</v>
      </c>
      <c r="I76" s="7" t="s">
        <v>416</v>
      </c>
      <c r="J76" s="7">
        <f ca="1">IFERROR(YEAR(TODAY())-Tabla2[[#This Row],[año]],"")</f>
        <v>11</v>
      </c>
      <c r="K76" s="56" t="s">
        <v>83</v>
      </c>
      <c r="L76" s="9" t="s">
        <v>78</v>
      </c>
      <c r="M76" s="9"/>
      <c r="N76" s="9"/>
      <c r="O76" s="9" t="s">
        <v>379</v>
      </c>
      <c r="P76" s="9"/>
      <c r="Q76" s="9"/>
      <c r="R76" s="113" t="s">
        <v>58</v>
      </c>
      <c r="S76" s="11">
        <v>0.77083333333333337</v>
      </c>
      <c r="T76" s="113" t="s">
        <v>113</v>
      </c>
      <c r="U76" s="113"/>
      <c r="V76" s="113">
        <v>30</v>
      </c>
      <c r="W76" s="142"/>
      <c r="X76" s="28" t="s">
        <v>417</v>
      </c>
      <c r="Y76" s="142" t="s">
        <v>418</v>
      </c>
      <c r="Z76" s="142"/>
      <c r="AA76" s="142"/>
      <c r="AB76" s="30"/>
      <c r="AC76" s="6">
        <v>42005</v>
      </c>
      <c r="AD76" s="147">
        <f>IF(YEAR(Tabla2[[#This Row],[FECHA DE NACIMIENTO DEL ALUMNO]])&lt;&gt;1900,YEAR(Tabla2[[#This Row],[FECHA DE NACIMIENTO DEL ALUMNO]]),"")</f>
        <v>2015</v>
      </c>
      <c r="AE76" s="14"/>
      <c r="AF76" s="15"/>
      <c r="AG76" s="152"/>
      <c r="AH76" s="37"/>
      <c r="AI76" s="18"/>
      <c r="AJ76" s="17">
        <v>256</v>
      </c>
      <c r="AK76" s="37"/>
      <c r="AL76" s="236">
        <f>IF(Tabla2[[#This Row],[RECIBO ACTUAL]]=0,0,_xlfn.XLOOKUP(CONCATENATE(Tabla2[[#This Row],[CLASE]],Tabla2[[#This Row],[DURACIÓN]]),DevelupeMode!$P$4:$P$10,DevelupeMode!$Q$4:$Q$10,0))</f>
        <v>0</v>
      </c>
      <c r="AM76" s="21"/>
      <c r="AN76" s="9"/>
      <c r="AO76">
        <f>_xlfn.XLOOKUP(Tabla2[[#This Row],[CURSO]],DevelupeMode!$T$4:$T$11,DevelupeMode!$U$4:$U$11,AO75+1)</f>
        <v>6</v>
      </c>
    </row>
    <row r="77" spans="2:42" ht="15" hidden="1" customHeight="1" x14ac:dyDescent="0.25">
      <c r="B77" s="206"/>
      <c r="C77" s="205">
        <f>IFERROR(IF(Tabla2[[#This Row],[Status]]="",0,IF(LEFT(Tabla2[[#This Row],[Status]],4)="Baja",C76,C76+1)),1)</f>
        <v>11</v>
      </c>
      <c r="D77" s="87" t="s">
        <v>148</v>
      </c>
      <c r="E77" s="87" t="str">
        <f>IF(AND(Tabla2[[#This Row],[RECIBO ACTUAL]]="",Tabla2[[#This Row],[Status]]="Activo"),"paguenmelaren","")</f>
        <v/>
      </c>
      <c r="F77" s="87"/>
      <c r="G77" s="182">
        <v>45692</v>
      </c>
      <c r="H77" s="204" t="str">
        <f>IFERROR(CONCATENATE("AGS015",MID(Tabla2[[#This Row],[ALUMNO]],1,2),MID(Tabla2[[#This Row],[ALUMNO]],FIND(" ",Tabla2[[#This Row],[ALUMNO]],1)+1,2)),"Aguas")</f>
        <v>AGS015JoNu</v>
      </c>
      <c r="I77" s="7" t="s">
        <v>460</v>
      </c>
      <c r="J77" s="7">
        <f ca="1">IFERROR(YEAR(TODAY())-Tabla2[[#This Row],[año]],"")</f>
        <v>36</v>
      </c>
      <c r="K77" s="56" t="s">
        <v>83</v>
      </c>
      <c r="L77" s="9" t="s">
        <v>78</v>
      </c>
      <c r="M77" s="9"/>
      <c r="N77" s="9"/>
      <c r="O77" s="9" t="s">
        <v>474</v>
      </c>
      <c r="P77" s="9"/>
      <c r="Q77" s="9"/>
      <c r="R77" s="113" t="s">
        <v>58</v>
      </c>
      <c r="S77" s="11">
        <v>0.79166666666666663</v>
      </c>
      <c r="T77" s="113" t="s">
        <v>334</v>
      </c>
      <c r="U77" s="113" t="s">
        <v>390</v>
      </c>
      <c r="V77" s="113">
        <v>50</v>
      </c>
      <c r="W77" s="142">
        <v>5562430670</v>
      </c>
      <c r="X77" s="12"/>
      <c r="Y77" s="142"/>
      <c r="Z77" s="142"/>
      <c r="AA77" s="142"/>
      <c r="AB77" s="13"/>
      <c r="AC77" s="25">
        <v>32874</v>
      </c>
      <c r="AD77" s="147">
        <f>IF(YEAR(Tabla2[[#This Row],[FECHA DE NACIMIENTO DEL ALUMNO]])&lt;&gt;1900,YEAR(Tabla2[[#This Row],[FECHA DE NACIMIENTO DEL ALUMNO]]),"")</f>
        <v>1990</v>
      </c>
      <c r="AE77" s="14"/>
      <c r="AF77" s="15"/>
      <c r="AG77" s="152"/>
      <c r="AH77" s="17"/>
      <c r="AI77" s="18"/>
      <c r="AJ77" s="19"/>
      <c r="AK77" s="17"/>
      <c r="AL77" s="236">
        <f>IF(Tabla2[[#This Row],[RECIBO ACTUAL]]=0,0,_xlfn.XLOOKUP(CONCATENATE(Tabla2[[#This Row],[CLASE]],Tabla2[[#This Row],[DURACIÓN]]),DevelupeMode!$P$4:$P$10,DevelupeMode!$Q$4:$Q$10,0))</f>
        <v>0</v>
      </c>
      <c r="AM77" s="21"/>
      <c r="AN77" s="22"/>
      <c r="AO77">
        <f>_xlfn.XLOOKUP(Tabla2[[#This Row],[CURSO]],DevelupeMode!$T$4:$T$11,DevelupeMode!$U$4:$U$11,AO76+1)</f>
        <v>6</v>
      </c>
    </row>
    <row r="78" spans="2:42" ht="15" hidden="1" customHeight="1" x14ac:dyDescent="0.25">
      <c r="B78" s="206"/>
      <c r="C78" s="205">
        <f>IFERROR(IF(Tabla2[[#This Row],[Status]]="",0,IF(LEFT(Tabla2[[#This Row],[Status]],4)="Baja",C77,C77+1)),1)</f>
        <v>11</v>
      </c>
      <c r="D78" s="87" t="s">
        <v>148</v>
      </c>
      <c r="E78" s="87" t="str">
        <f>IF(AND(Tabla2[[#This Row],[RECIBO ACTUAL]]="",Tabla2[[#This Row],[Status]]="Activo"),"paguenmelaren","")</f>
        <v/>
      </c>
      <c r="F78" s="87"/>
      <c r="G78" s="182">
        <v>45692</v>
      </c>
      <c r="H78" s="204" t="str">
        <f>IFERROR(CONCATENATE("AGS015",MID(Tabla2[[#This Row],[ALUMNO]],1,2),MID(Tabla2[[#This Row],[ALUMNO]],FIND(" ",Tabla2[[#This Row],[ALUMNO]],1)+1,2)),"Aguas")</f>
        <v>AGS015ErMa</v>
      </c>
      <c r="I78" s="7" t="s">
        <v>475</v>
      </c>
      <c r="J78" s="7">
        <f ca="1">IFERROR(YEAR(TODAY())-Tabla2[[#This Row],[año]],"")</f>
        <v>25</v>
      </c>
      <c r="K78" s="56" t="s">
        <v>83</v>
      </c>
      <c r="L78" s="9" t="s">
        <v>78</v>
      </c>
      <c r="M78" s="9"/>
      <c r="N78" s="9"/>
      <c r="O78" s="9" t="s">
        <v>474</v>
      </c>
      <c r="P78" s="9"/>
      <c r="Q78" s="9"/>
      <c r="R78" s="113" t="s">
        <v>58</v>
      </c>
      <c r="S78" s="11">
        <v>0.79166666666666663</v>
      </c>
      <c r="T78" s="113" t="s">
        <v>113</v>
      </c>
      <c r="U78" s="113" t="s">
        <v>390</v>
      </c>
      <c r="V78" s="113">
        <v>45</v>
      </c>
      <c r="W78" s="142" t="s">
        <v>476</v>
      </c>
      <c r="X78" s="12"/>
      <c r="Y78" s="142"/>
      <c r="Z78" s="142"/>
      <c r="AA78" s="142"/>
      <c r="AB78" s="13"/>
      <c r="AC78" s="25">
        <v>36892</v>
      </c>
      <c r="AD78" s="147">
        <f>IF(YEAR(Tabla2[[#This Row],[FECHA DE NACIMIENTO DEL ALUMNO]])&lt;&gt;1900,YEAR(Tabla2[[#This Row],[FECHA DE NACIMIENTO DEL ALUMNO]]),"")</f>
        <v>2001</v>
      </c>
      <c r="AE78" s="14"/>
      <c r="AF78" s="15"/>
      <c r="AG78" s="152"/>
      <c r="AH78" s="17"/>
      <c r="AI78" s="18"/>
      <c r="AJ78" s="19"/>
      <c r="AK78" s="17"/>
      <c r="AL78" s="236">
        <f>IF(Tabla2[[#This Row],[RECIBO ACTUAL]]=0,0,_xlfn.XLOOKUP(CONCATENATE(Tabla2[[#This Row],[CLASE]],Tabla2[[#This Row],[DURACIÓN]]),DevelupeMode!$P$4:$P$10,DevelupeMode!$Q$4:$Q$10,0))</f>
        <v>0</v>
      </c>
      <c r="AM78" s="21"/>
      <c r="AN78" s="22"/>
      <c r="AO78">
        <f>_xlfn.XLOOKUP(Tabla2[[#This Row],[CURSO]],DevelupeMode!$T$4:$T$11,DevelupeMode!$U$4:$U$11,AO77+1)</f>
        <v>6</v>
      </c>
    </row>
    <row r="79" spans="2:42" ht="15" hidden="1" customHeight="1" x14ac:dyDescent="0.25">
      <c r="B79" s="206"/>
      <c r="C79" s="205">
        <f>IFERROR(IF(Tabla2[[#This Row],[Status]]="",0,IF(LEFT(Tabla2[[#This Row],[Status]],4)="Baja",C78,C78+1)),1)</f>
        <v>11</v>
      </c>
      <c r="D79" s="87" t="s">
        <v>148</v>
      </c>
      <c r="E79" s="87" t="str">
        <f>IF(AND(Tabla2[[#This Row],[RECIBO ACTUAL]]="",Tabla2[[#This Row],[Status]]="Activo"),"paguenmelaren","")</f>
        <v/>
      </c>
      <c r="F79" s="87"/>
      <c r="G79" s="182"/>
      <c r="H79" s="204" t="str">
        <f>IFERROR(CONCATENATE("AGS015",MID(Tabla2[[#This Row],[ALUMNO]],1,2),MID(Tabla2[[#This Row],[ALUMNO]],FIND(" ",Tabla2[[#This Row],[ALUMNO]],1)+1,2)),"Aguas")</f>
        <v>AGS015JoMa</v>
      </c>
      <c r="I79" s="7" t="s">
        <v>414</v>
      </c>
      <c r="J79" s="7" t="str">
        <f ca="1">IFERROR(YEAR(TODAY())-Tabla2[[#This Row],[año]],"")</f>
        <v/>
      </c>
      <c r="K79" s="56" t="s">
        <v>83</v>
      </c>
      <c r="L79" s="9" t="s">
        <v>78</v>
      </c>
      <c r="M79" s="9"/>
      <c r="N79" s="9"/>
      <c r="O79" s="9" t="str">
        <f>IF(Tabla2[[#This Row],[MÉTODO]]="Yamaha","Royalty","")</f>
        <v/>
      </c>
      <c r="P79" s="9"/>
      <c r="Q79" s="9"/>
      <c r="R79" s="113" t="s">
        <v>32</v>
      </c>
      <c r="S79" s="11">
        <v>0.46875</v>
      </c>
      <c r="T79" s="113" t="s">
        <v>113</v>
      </c>
      <c r="U79" s="113"/>
      <c r="V79" s="113">
        <v>45</v>
      </c>
      <c r="W79" s="142"/>
      <c r="X79" s="28"/>
      <c r="Y79" s="142"/>
      <c r="Z79" s="142"/>
      <c r="AA79" s="142"/>
      <c r="AB79" s="30"/>
      <c r="AC79" s="6"/>
      <c r="AD79" s="147" t="str">
        <f>IF(YEAR(Tabla2[[#This Row],[FECHA DE NACIMIENTO DEL ALUMNO]])&lt;&gt;1900,YEAR(Tabla2[[#This Row],[FECHA DE NACIMIENTO DEL ALUMNO]]),"")</f>
        <v/>
      </c>
      <c r="AE79" s="14"/>
      <c r="AF79" s="15"/>
      <c r="AG79" s="152"/>
      <c r="AH79" s="17"/>
      <c r="AI79" s="18"/>
      <c r="AJ79" s="19"/>
      <c r="AK79" s="17"/>
      <c r="AL79" s="236">
        <f>IF(Tabla2[[#This Row],[RECIBO ACTUAL]]=0,0,_xlfn.XLOOKUP(CONCATENATE(Tabla2[[#This Row],[CLASE]],Tabla2[[#This Row],[DURACIÓN]]),DevelupeMode!$P$4:$P$10,DevelupeMode!$Q$4:$Q$10,0))</f>
        <v>0</v>
      </c>
      <c r="AM79" s="21"/>
      <c r="AN79" s="22"/>
      <c r="AO79">
        <f>_xlfn.XLOOKUP(Tabla2[[#This Row],[CURSO]],DevelupeMode!$T$4:$T$11,DevelupeMode!$U$4:$U$11,AO78+1)</f>
        <v>6</v>
      </c>
    </row>
    <row r="80" spans="2:42" ht="15" customHeight="1" x14ac:dyDescent="0.25">
      <c r="B80" s="216"/>
      <c r="C80" s="282">
        <f>IFERROR(IF(Tabla2[[#This Row],[Status]]="",0,IF(LEFT(Tabla2[[#This Row],[Status]],4)="Baja",C79,C79+1)),1)</f>
        <v>12</v>
      </c>
      <c r="D80" s="87" t="s">
        <v>19</v>
      </c>
      <c r="E80" s="87" t="str">
        <f>IF(AND(Tabla2[[#This Row],[RECIBO ACTUAL]]="",Tabla2[[#This Row],[Status]]="Activo"),"paguenmelaren","")</f>
        <v/>
      </c>
      <c r="F80" s="87"/>
      <c r="G80" s="182">
        <v>45711</v>
      </c>
      <c r="H80" s="204" t="str">
        <f>IFERROR(CONCATENATE("AGS015",MID(Tabla2[[#This Row],[ALUMNO]],1,2),MID(Tabla2[[#This Row],[ALUMNO]],FIND(" ",Tabla2[[#This Row],[ALUMNO]],1)+1,2)),"Aguas")</f>
        <v>AGS015DiRo</v>
      </c>
      <c r="I80" s="7" t="s">
        <v>615</v>
      </c>
      <c r="J80" s="7">
        <f ca="1">IFERROR(YEAR(TODAY())-Tabla2[[#This Row],[año]],"")</f>
        <v>11</v>
      </c>
      <c r="K80" s="44" t="s">
        <v>145</v>
      </c>
      <c r="L80" s="9" t="s">
        <v>618</v>
      </c>
      <c r="M80" s="9"/>
      <c r="N80" s="9"/>
      <c r="O80" s="9"/>
      <c r="P80" s="22"/>
      <c r="Q80" s="9"/>
      <c r="R80" s="113" t="s">
        <v>616</v>
      </c>
      <c r="S80" s="11">
        <v>0.70833333333333337</v>
      </c>
      <c r="T80" s="113" t="s">
        <v>618</v>
      </c>
      <c r="U80" s="113"/>
      <c r="V80" s="113">
        <v>50</v>
      </c>
      <c r="W80" s="142"/>
      <c r="X80" s="29" t="s">
        <v>328</v>
      </c>
      <c r="Y80" s="145">
        <v>4491890575</v>
      </c>
      <c r="Z80" s="145" t="s">
        <v>329</v>
      </c>
      <c r="AA80" s="145">
        <v>4491420728</v>
      </c>
      <c r="AB80" s="28"/>
      <c r="AC80" s="6">
        <v>42171</v>
      </c>
      <c r="AD80" s="147">
        <f>IF(YEAR(Tabla2[[#This Row],[FECHA DE NACIMIENTO DEL ALUMNO]])&lt;&gt;1900,YEAR(Tabla2[[#This Row],[FECHA DE NACIMIENTO DEL ALUMNO]]),"")</f>
        <v>2015</v>
      </c>
      <c r="AE80" s="18"/>
      <c r="AF80" s="9"/>
      <c r="AG80" s="153"/>
      <c r="AH80" s="71"/>
      <c r="AI80" s="73"/>
      <c r="AJ80" s="53"/>
      <c r="AK80" s="71">
        <v>655</v>
      </c>
      <c r="AL80" s="236">
        <v>350</v>
      </c>
      <c r="AM80" s="21" t="s">
        <v>56</v>
      </c>
      <c r="AN80" s="22"/>
      <c r="AO80" s="81">
        <f>_xlfn.XLOOKUP(Tabla2[[#This Row],[CURSO]],DevelupeMode!$T$4:$T$11,DevelupeMode!$U$4:$U$11,AO79+1)</f>
        <v>14</v>
      </c>
      <c r="AP80" s="81"/>
    </row>
    <row r="81" spans="2:42" ht="15" hidden="1" customHeight="1" x14ac:dyDescent="0.25">
      <c r="B81" s="206"/>
      <c r="C81" s="205">
        <f>IFERROR(IF(Tabla2[[#This Row],[Status]]="",0,IF(LEFT(Tabla2[[#This Row],[Status]],4)="Baja",C80,C80+1)),1)</f>
        <v>12</v>
      </c>
      <c r="D81" s="87" t="s">
        <v>148</v>
      </c>
      <c r="E81" s="87" t="str">
        <f>IF(AND(Tabla2[[#This Row],[RECIBO ACTUAL]]="",Tabla2[[#This Row],[Status]]="Activo"),"paguenmelaren","")</f>
        <v/>
      </c>
      <c r="F81" s="87"/>
      <c r="G81" s="183">
        <v>45528</v>
      </c>
      <c r="H81" s="204" t="str">
        <f>IFERROR(CONCATENATE("AGS015",MID(Tabla2[[#This Row],[ALUMNO]],1,2),MID(Tabla2[[#This Row],[ALUMNO]],FIND(" ",Tabla2[[#This Row],[ALUMNO]],1)+1,2)),"Aguas")</f>
        <v>AGS015MiXi</v>
      </c>
      <c r="I81" s="7" t="s">
        <v>162</v>
      </c>
      <c r="J81" s="7">
        <f ca="1">IFERROR(YEAR(TODAY())-Tabla2[[#This Row],[año]],"")</f>
        <v>11</v>
      </c>
      <c r="K81" s="56" t="s">
        <v>83</v>
      </c>
      <c r="L81" s="9" t="s">
        <v>78</v>
      </c>
      <c r="M81" s="9"/>
      <c r="N81" s="9"/>
      <c r="O81" s="9" t="str">
        <f>IF(Tabla2[[#This Row],[MÉTODO]]="Yamaha","Royalty","")</f>
        <v/>
      </c>
      <c r="P81" s="9"/>
      <c r="Q81" s="9"/>
      <c r="R81" s="113" t="s">
        <v>32</v>
      </c>
      <c r="S81" s="11">
        <v>0.67708333333333337</v>
      </c>
      <c r="T81" s="113" t="s">
        <v>113</v>
      </c>
      <c r="U81" s="113" t="s">
        <v>390</v>
      </c>
      <c r="V81" s="113">
        <v>45</v>
      </c>
      <c r="W81" s="142"/>
      <c r="X81" s="39" t="s">
        <v>91</v>
      </c>
      <c r="Y81" s="145">
        <v>4493520253</v>
      </c>
      <c r="Z81" s="145"/>
      <c r="AA81" s="145">
        <v>4491073367</v>
      </c>
      <c r="AB81" s="13"/>
      <c r="AC81" s="25">
        <v>42263</v>
      </c>
      <c r="AD81" s="147">
        <f>IF(YEAR(Tabla2[[#This Row],[FECHA DE NACIMIENTO DEL ALUMNO]])&lt;&gt;1900,YEAR(Tabla2[[#This Row],[FECHA DE NACIMIENTO DEL ALUMNO]]),"")</f>
        <v>2015</v>
      </c>
      <c r="AE81" s="14"/>
      <c r="AF81" s="15"/>
      <c r="AG81" s="152"/>
      <c r="AH81" s="37"/>
      <c r="AI81" s="20"/>
      <c r="AJ81" s="19"/>
      <c r="AK81" s="37"/>
      <c r="AL81" s="236">
        <f>IF(Tabla2[[#This Row],[RECIBO ACTUAL]]=0,0,_xlfn.XLOOKUP(CONCATENATE(Tabla2[[#This Row],[CLASE]],Tabla2[[#This Row],[DURACIÓN]]),DevelupeMode!$P$4:$P$10,DevelupeMode!$Q$4:$Q$10,0))</f>
        <v>0</v>
      </c>
      <c r="AM81" s="164"/>
      <c r="AN81" s="22"/>
      <c r="AO81">
        <f>_xlfn.XLOOKUP(Tabla2[[#This Row],[CURSO]],DevelupeMode!$T$4:$T$11,DevelupeMode!$U$4:$U$11,AO80+1)</f>
        <v>6</v>
      </c>
    </row>
    <row r="82" spans="2:42" ht="15" customHeight="1" x14ac:dyDescent="0.25">
      <c r="B82" s="216"/>
      <c r="C82" s="205">
        <f>IFERROR(IF(Tabla2[[#This Row],[Status]]="",0,IF(LEFT(Tabla2[[#This Row],[Status]],4)="Baja",C81,C81+1)),1)</f>
        <v>13</v>
      </c>
      <c r="D82" s="261" t="s">
        <v>19</v>
      </c>
      <c r="E82" s="88" t="str">
        <f>IF(AND(Tabla2[[#This Row],[RECIBO ACTUAL]]="",Tabla2[[#This Row],[Status]]="Activo"),"paguenmelaren","")</f>
        <v/>
      </c>
      <c r="F82" s="87"/>
      <c r="G82" s="262"/>
      <c r="H82" s="204" t="str">
        <f>IFERROR(CONCATENATE("AGS015",MID(Tabla2[[#This Row],[ALUMNO]],1,2),MID(Tabla2[[#This Row],[ALUMNO]],FIND(" ",Tabla2[[#This Row],[ALUMNO]],1)+1,2)),"Aguas")</f>
        <v>AGS015JaRa</v>
      </c>
      <c r="I82" s="263" t="s">
        <v>576</v>
      </c>
      <c r="J82" s="104">
        <f ca="1">IFERROR(YEAR(TODAY())-Tabla2[[#This Row],[año]],"")</f>
        <v>8</v>
      </c>
      <c r="K82" s="264" t="s">
        <v>425</v>
      </c>
      <c r="L82" s="265" t="s">
        <v>78</v>
      </c>
      <c r="M82" s="23"/>
      <c r="N82" s="23"/>
      <c r="O82" s="212" t="str">
        <f>IF(Tabla2[[#This Row],[MÉTODO]]="Yamaha","Royalty","")</f>
        <v/>
      </c>
      <c r="P82" s="9"/>
      <c r="Q82" s="9"/>
      <c r="R82" s="266" t="s">
        <v>612</v>
      </c>
      <c r="S82" s="276">
        <v>0.65625</v>
      </c>
      <c r="T82" s="266" t="s">
        <v>113</v>
      </c>
      <c r="U82" s="84"/>
      <c r="V82" s="266">
        <v>45</v>
      </c>
      <c r="W82" s="267" t="s">
        <v>598</v>
      </c>
      <c r="X82" s="50"/>
      <c r="Y82" s="142"/>
      <c r="Z82" s="142"/>
      <c r="AA82" s="142"/>
      <c r="AB82" s="51"/>
      <c r="AC82" s="268">
        <v>43101</v>
      </c>
      <c r="AD82" s="52">
        <f>IF(YEAR(Tabla2[[#This Row],[FECHA DE NACIMIENTO DEL ALUMNO]])&lt;&gt;1900,YEAR(Tabla2[[#This Row],[FECHA DE NACIMIENTO DEL ALUMNO]]),"")</f>
        <v>2018</v>
      </c>
      <c r="AE82" s="84"/>
      <c r="AF82" s="23"/>
      <c r="AG82" s="18"/>
      <c r="AH82" s="71">
        <v>624</v>
      </c>
      <c r="AI82" s="73"/>
      <c r="AJ82" s="23"/>
      <c r="AK82" s="71">
        <v>662</v>
      </c>
      <c r="AL82" s="236">
        <f>IF(Tabla2[[#This Row],[RECIBO ACTUAL]]=0,0,_xlfn.XLOOKUP(CONCATENATE(Tabla2[[#This Row],[CLASE]],Tabla2[[#This Row],[DURACIÓN]]),DevelupeMode!$P$4:$P$10,DevelupeMode!$Q$4:$Q$10,0))</f>
        <v>1490</v>
      </c>
      <c r="AM82" s="32" t="s">
        <v>563</v>
      </c>
      <c r="AN82" s="23"/>
      <c r="AO82">
        <f>_xlfn.XLOOKUP(Tabla2[[#This Row],[CURSO]],DevelupeMode!$T$4:$T$11,DevelupeMode!$U$4:$U$11,AO81+1)</f>
        <v>6</v>
      </c>
      <c r="AP82" s="81"/>
    </row>
    <row r="83" spans="2:42" ht="15" customHeight="1" x14ac:dyDescent="0.25">
      <c r="B83" s="206"/>
      <c r="C83" s="205">
        <f>IFERROR(IF(Tabla2[[#This Row],[Status]]="",0,IF(LEFT(Tabla2[[#This Row],[Status]],4)="Baja",C82,C82+1)),1)</f>
        <v>14</v>
      </c>
      <c r="D83" s="87" t="s">
        <v>19</v>
      </c>
      <c r="E83" s="87" t="str">
        <f>IF(AND(Tabla2[[#This Row],[RECIBO ACTUAL]]="",Tabla2[[#This Row],[Status]]="Activo"),"paguenmelaren","")</f>
        <v>paguenmelaren</v>
      </c>
      <c r="F83" s="87"/>
      <c r="G83" s="182">
        <v>45658</v>
      </c>
      <c r="H83" s="204" t="str">
        <f>IFERROR(CONCATENATE("AGS015",MID(Tabla2[[#This Row],[ALUMNO]],1,2),MID(Tabla2[[#This Row],[ALUMNO]],FIND(" ",Tabla2[[#This Row],[ALUMNO]],1)+1,2)),"Aguas")</f>
        <v>AGS015LiVi</v>
      </c>
      <c r="I83" s="7" t="s">
        <v>427</v>
      </c>
      <c r="J83" s="7">
        <f ca="1">IFERROR(YEAR(TODAY())-Tabla2[[#This Row],[año]],"")</f>
        <v>6</v>
      </c>
      <c r="K83" s="177" t="s">
        <v>425</v>
      </c>
      <c r="L83" s="9" t="s">
        <v>78</v>
      </c>
      <c r="M83" s="9"/>
      <c r="N83" s="9" t="s">
        <v>24</v>
      </c>
      <c r="O83" s="9" t="s">
        <v>426</v>
      </c>
      <c r="P83" s="9"/>
      <c r="Q83" s="9"/>
      <c r="R83" s="266" t="s">
        <v>612</v>
      </c>
      <c r="S83" s="11">
        <v>0.70833333333333337</v>
      </c>
      <c r="T83" s="113" t="s">
        <v>426</v>
      </c>
      <c r="U83" s="113"/>
      <c r="V83" s="113">
        <v>50</v>
      </c>
      <c r="W83" s="142">
        <v>5610108416</v>
      </c>
      <c r="X83" s="12"/>
      <c r="Y83" s="142"/>
      <c r="Z83" s="12"/>
      <c r="AA83" s="12"/>
      <c r="AB83" s="28"/>
      <c r="AC83" s="6">
        <v>43831</v>
      </c>
      <c r="AD83" s="147">
        <f>IF(YEAR(Tabla2[[#This Row],[FECHA DE NACIMIENTO DEL ALUMNO]])&lt;&gt;1900,YEAR(Tabla2[[#This Row],[FECHA DE NACIMIENTO DEL ALUMNO]]),"")</f>
        <v>2020</v>
      </c>
      <c r="AE83" s="14"/>
      <c r="AF83" s="15"/>
      <c r="AG83" s="14"/>
      <c r="AH83" s="71">
        <v>654</v>
      </c>
      <c r="AI83" s="73"/>
      <c r="AJ83" s="55"/>
      <c r="AK83" s="71"/>
      <c r="AL83" s="236">
        <f>IF(Tabla2[[#This Row],[RECIBO ACTUAL]]=0,0,_xlfn.XLOOKUP(CONCATENATE(Tabla2[[#This Row],[CLASE]],Tabla2[[#This Row],[DURACIÓN]]),DevelupeMode!$P$4:$P$10,DevelupeMode!$Q$4:$Q$10,0))</f>
        <v>0</v>
      </c>
      <c r="AM83" s="21" t="s">
        <v>554</v>
      </c>
      <c r="AN83" s="22"/>
      <c r="AO83">
        <f>_xlfn.XLOOKUP(Tabla2[[#This Row],[CURSO]],DevelupeMode!$T$4:$T$11,DevelupeMode!$U$4:$U$11,AO82+1)</f>
        <v>6</v>
      </c>
    </row>
    <row r="84" spans="2:42" ht="15" hidden="1" customHeight="1" x14ac:dyDescent="0.25">
      <c r="B84" s="206"/>
      <c r="C84" s="205">
        <f>IFERROR(IF(Tabla2[[#This Row],[Status]]="",0,IF(LEFT(Tabla2[[#This Row],[Status]],4)="Baja",C83,C83+1)),1)</f>
        <v>14</v>
      </c>
      <c r="D84" s="87" t="s">
        <v>148</v>
      </c>
      <c r="E84" s="87" t="str">
        <f>IF(AND(Tabla2[[#This Row],[RECIBO ACTUAL]]="",Tabla2[[#This Row],[Status]]="Activo"),"paguenmelaren","")</f>
        <v/>
      </c>
      <c r="F84" s="87"/>
      <c r="G84" s="182"/>
      <c r="H84" s="204" t="str">
        <f>IFERROR(CONCATENATE("AGS015",MID(Tabla2[[#This Row],[ALUMNO]],1,2),MID(Tabla2[[#This Row],[ALUMNO]],FIND(" ",Tabla2[[#This Row],[ALUMNO]],1)+1,2)),"Aguas")</f>
        <v>AGS015MaPa</v>
      </c>
      <c r="I84" s="7" t="s">
        <v>249</v>
      </c>
      <c r="J84" s="7">
        <f ca="1">IFERROR(YEAR(TODAY())-Tabla2[[#This Row],[año]],"")</f>
        <v>19</v>
      </c>
      <c r="K84" s="56" t="s">
        <v>83</v>
      </c>
      <c r="L84" s="9" t="s">
        <v>78</v>
      </c>
      <c r="M84" s="9">
        <v>5</v>
      </c>
      <c r="N84" s="24" t="s">
        <v>24</v>
      </c>
      <c r="O84" s="9" t="s">
        <v>445</v>
      </c>
      <c r="P84" s="9"/>
      <c r="Q84" s="9"/>
      <c r="R84" s="113" t="s">
        <v>32</v>
      </c>
      <c r="S84" s="11">
        <v>0.70833333333333337</v>
      </c>
      <c r="T84" s="113" t="s">
        <v>113</v>
      </c>
      <c r="U84" s="113" t="s">
        <v>390</v>
      </c>
      <c r="V84" s="113">
        <v>45</v>
      </c>
      <c r="W84" s="142">
        <v>4494609954</v>
      </c>
      <c r="X84" s="12" t="s">
        <v>94</v>
      </c>
      <c r="Y84" s="142">
        <v>4491925205</v>
      </c>
      <c r="Z84" s="142"/>
      <c r="AA84" s="142"/>
      <c r="AB84" s="30" t="s">
        <v>95</v>
      </c>
      <c r="AC84" s="25">
        <v>39337</v>
      </c>
      <c r="AD84" s="147">
        <f>IF(YEAR(Tabla2[[#This Row],[FECHA DE NACIMIENTO DEL ALUMNO]])&lt;&gt;1900,YEAR(Tabla2[[#This Row],[FECHA DE NACIMIENTO DEL ALUMNO]]),"")</f>
        <v>2007</v>
      </c>
      <c r="AE84" s="14"/>
      <c r="AF84" s="15"/>
      <c r="AG84" s="152"/>
      <c r="AH84" s="17"/>
      <c r="AI84" s="20"/>
      <c r="AJ84" s="55"/>
      <c r="AK84" s="17"/>
      <c r="AL84" s="236">
        <f>IF(Tabla2[[#This Row],[RECIBO ACTUAL]]=0,0,_xlfn.XLOOKUP(CONCATENATE(Tabla2[[#This Row],[CLASE]],Tabla2[[#This Row],[DURACIÓN]]),DevelupeMode!$P$4:$P$10,DevelupeMode!$Q$4:$Q$10,0))</f>
        <v>0</v>
      </c>
      <c r="AM84" s="21"/>
      <c r="AN84" s="181"/>
      <c r="AO84">
        <f>_xlfn.XLOOKUP(Tabla2[[#This Row],[CURSO]],DevelupeMode!$T$4:$T$11,DevelupeMode!$U$4:$U$11,AO83+1)</f>
        <v>6</v>
      </c>
    </row>
    <row r="85" spans="2:42" ht="15" hidden="1" customHeight="1" x14ac:dyDescent="0.25">
      <c r="B85" s="206"/>
      <c r="C85" s="205">
        <f>IFERROR(IF(Tabla2[[#This Row],[Status]]="",0,IF(LEFT(Tabla2[[#This Row],[Status]],4)="Baja",C84,C84+1)),1)</f>
        <v>14</v>
      </c>
      <c r="D85" s="87" t="s">
        <v>148</v>
      </c>
      <c r="E85" s="87" t="str">
        <f>IF(AND(Tabla2[[#This Row],[RECIBO ACTUAL]]="",Tabla2[[#This Row],[Status]]="Activo"),"paguenmelaren","")</f>
        <v/>
      </c>
      <c r="F85" s="87"/>
      <c r="G85" s="182">
        <v>45375</v>
      </c>
      <c r="H85" s="204" t="str">
        <f>IFERROR(CONCATENATE("AGS015",MID(Tabla2[[#This Row],[ALUMNO]],1,2),MID(Tabla2[[#This Row],[ALUMNO]],FIND(" ",Tabla2[[#This Row],[ALUMNO]],1)+1,2)),"Aguas")</f>
        <v>AGS015ClLe</v>
      </c>
      <c r="I85" s="7" t="s">
        <v>200</v>
      </c>
      <c r="J85" s="7">
        <f ca="1">IFERROR(YEAR(TODAY())-Tabla2[[#This Row],[año]],"")</f>
        <v>65</v>
      </c>
      <c r="K85" s="56" t="s">
        <v>83</v>
      </c>
      <c r="L85" s="9" t="s">
        <v>78</v>
      </c>
      <c r="M85" s="9"/>
      <c r="N85" s="24"/>
      <c r="O85" s="9"/>
      <c r="P85" s="9"/>
      <c r="Q85" s="9"/>
      <c r="R85" s="72" t="s">
        <v>96</v>
      </c>
      <c r="S85" s="11">
        <v>0.71875</v>
      </c>
      <c r="T85" s="113" t="s">
        <v>113</v>
      </c>
      <c r="U85" s="113" t="s">
        <v>390</v>
      </c>
      <c r="V85" s="113">
        <v>45</v>
      </c>
      <c r="W85" s="142">
        <v>5545408458</v>
      </c>
      <c r="X85" s="12" t="s">
        <v>22</v>
      </c>
      <c r="Y85" s="142"/>
      <c r="Z85" s="142"/>
      <c r="AA85" s="142"/>
      <c r="AB85" s="13" t="s">
        <v>97</v>
      </c>
      <c r="AC85" s="25">
        <v>22375</v>
      </c>
      <c r="AD85" s="147">
        <f>IF(YEAR(Tabla2[[#This Row],[FECHA DE NACIMIENTO DEL ALUMNO]])&lt;&gt;1900,YEAR(Tabla2[[#This Row],[FECHA DE NACIMIENTO DEL ALUMNO]]),"")</f>
        <v>1961</v>
      </c>
      <c r="AE85" s="14"/>
      <c r="AF85" s="15"/>
      <c r="AG85" s="152"/>
      <c r="AH85" s="17"/>
      <c r="AI85" s="20"/>
      <c r="AJ85" s="19"/>
      <c r="AK85" s="17"/>
      <c r="AL85" s="236">
        <f>IF(Tabla2[[#This Row],[RECIBO ACTUAL]]=0,0,_xlfn.XLOOKUP(CONCATENATE(Tabla2[[#This Row],[CLASE]],Tabla2[[#This Row],[DURACIÓN]]),DevelupeMode!$P$4:$P$10,DevelupeMode!$Q$4:$Q$10,0))</f>
        <v>0</v>
      </c>
      <c r="AM85" s="9"/>
      <c r="AN85" s="22"/>
      <c r="AO85">
        <f>_xlfn.XLOOKUP(Tabla2[[#This Row],[CURSO]],DevelupeMode!$T$4:$T$11,DevelupeMode!$U$4:$U$11,AO84+1)</f>
        <v>6</v>
      </c>
    </row>
    <row r="86" spans="2:42" ht="15" customHeight="1" x14ac:dyDescent="0.25">
      <c r="B86" s="216"/>
      <c r="C86" s="205">
        <f>IFERROR(IF(Tabla2[[#This Row],[Status]]="",0,IF(LEFT(Tabla2[[#This Row],[Status]],4)="Baja",C85,C85+1)),1)</f>
        <v>15</v>
      </c>
      <c r="D86" s="87" t="s">
        <v>19</v>
      </c>
      <c r="E86" s="87" t="str">
        <f>IF(AND(Tabla2[[#This Row],[RECIBO ACTUAL]]="",Tabla2[[#This Row],[Status]]="Activo"),"paguenmelaren","")</f>
        <v/>
      </c>
      <c r="F86" s="87"/>
      <c r="G86" s="182">
        <v>45666</v>
      </c>
      <c r="H86" s="204" t="str">
        <f>IFERROR(CONCATENATE("AGS015",MID(Tabla2[[#This Row],[ALUMNO]],1,2),MID(Tabla2[[#This Row],[ALUMNO]],FIND(" ",Tabla2[[#This Row],[ALUMNO]],1)+1,2)),"Aguas")</f>
        <v>AGS015MéAr</v>
      </c>
      <c r="I86" s="7" t="s">
        <v>481</v>
      </c>
      <c r="J86" s="7">
        <f ca="1">IFERROR(YEAR(TODAY())-Tabla2[[#This Row],[año]],"")</f>
        <v>7</v>
      </c>
      <c r="K86" s="177" t="s">
        <v>425</v>
      </c>
      <c r="L86" s="9" t="s">
        <v>78</v>
      </c>
      <c r="M86" s="9"/>
      <c r="N86" s="9"/>
      <c r="O86" s="9" t="s">
        <v>446</v>
      </c>
      <c r="P86" s="9"/>
      <c r="Q86" s="9"/>
      <c r="R86" s="266" t="s">
        <v>612</v>
      </c>
      <c r="S86" s="11">
        <v>0.75</v>
      </c>
      <c r="T86" s="113" t="s">
        <v>113</v>
      </c>
      <c r="U86" s="113"/>
      <c r="V86" s="113">
        <v>45</v>
      </c>
      <c r="W86" s="142">
        <v>4491858622</v>
      </c>
      <c r="X86" s="12"/>
      <c r="Y86" s="142"/>
      <c r="Z86" s="142"/>
      <c r="AA86" s="142"/>
      <c r="AB86" s="28"/>
      <c r="AC86" s="6">
        <v>43466</v>
      </c>
      <c r="AD86" s="147">
        <f>IF(YEAR(Tabla2[[#This Row],[FECHA DE NACIMIENTO DEL ALUMNO]])&lt;&gt;1900,YEAR(Tabla2[[#This Row],[FECHA DE NACIMIENTO DEL ALUMNO]]),"")</f>
        <v>2019</v>
      </c>
      <c r="AE86" s="14"/>
      <c r="AF86" s="15"/>
      <c r="AG86" s="14"/>
      <c r="AH86" s="71">
        <v>627</v>
      </c>
      <c r="AI86" s="73"/>
      <c r="AJ86" s="55"/>
      <c r="AK86" s="71">
        <v>670</v>
      </c>
      <c r="AL86" s="236">
        <f>IF(Tabla2[[#This Row],[RECIBO ACTUAL]]=0,0,_xlfn.XLOOKUP(CONCATENATE(Tabla2[[#This Row],[CLASE]],Tabla2[[#This Row],[DURACIÓN]]),DevelupeMode!$P$4:$P$10,DevelupeMode!$Q$4:$Q$10,0))</f>
        <v>1490</v>
      </c>
      <c r="AM86" s="21" t="s">
        <v>554</v>
      </c>
      <c r="AN86" s="22"/>
      <c r="AO86">
        <f>_xlfn.XLOOKUP(Tabla2[[#This Row],[CURSO]],DevelupeMode!$T$4:$T$11,DevelupeMode!$U$4:$U$11,AO85+1)</f>
        <v>6</v>
      </c>
      <c r="AP86" s="81"/>
    </row>
    <row r="87" spans="2:42" ht="15" hidden="1" customHeight="1" x14ac:dyDescent="0.25">
      <c r="B87" s="206"/>
      <c r="C87" s="205">
        <f>IFERROR(IF(Tabla2[[#This Row],[Status]]="",0,IF(LEFT(Tabla2[[#This Row],[Status]],4)="Baja",C86,C86+1)),1)</f>
        <v>15</v>
      </c>
      <c r="D87" s="87" t="s">
        <v>148</v>
      </c>
      <c r="E87" s="87" t="str">
        <f>IF(AND(Tabla2[[#This Row],[RECIBO ACTUAL]]="",Tabla2[[#This Row],[Status]]="Activo"),"paguenmelaren","")</f>
        <v/>
      </c>
      <c r="F87" s="87"/>
      <c r="G87" s="183">
        <v>45528</v>
      </c>
      <c r="H87" s="204" t="str">
        <f>IFERROR(CONCATENATE("AGS015",MID(Tabla2[[#This Row],[ALUMNO]],1,2),MID(Tabla2[[#This Row],[ALUMNO]],FIND(" ",Tabla2[[#This Row],[ALUMNO]],1)+1,2)),"Aguas")</f>
        <v>AGS015DaLu</v>
      </c>
      <c r="I87" s="7" t="s">
        <v>306</v>
      </c>
      <c r="J87" s="7">
        <f ca="1">IFERROR(YEAR(TODAY())-Tabla2[[#This Row],[año]],"")</f>
        <v>15</v>
      </c>
      <c r="K87" s="56" t="s">
        <v>83</v>
      </c>
      <c r="L87" s="9" t="s">
        <v>78</v>
      </c>
      <c r="M87" s="9"/>
      <c r="N87" s="24"/>
      <c r="O87" s="9"/>
      <c r="P87" s="9"/>
      <c r="Q87" s="9"/>
      <c r="R87" s="113" t="s">
        <v>96</v>
      </c>
      <c r="S87" s="11">
        <v>0.75</v>
      </c>
      <c r="T87" s="113" t="s">
        <v>113</v>
      </c>
      <c r="U87" s="113" t="s">
        <v>390</v>
      </c>
      <c r="V87" s="113">
        <v>45</v>
      </c>
      <c r="W87" s="28" t="s">
        <v>307</v>
      </c>
      <c r="X87" s="29" t="s">
        <v>308</v>
      </c>
      <c r="Y87" s="28" t="s">
        <v>309</v>
      </c>
      <c r="Z87" s="142"/>
      <c r="AA87" s="142"/>
      <c r="AB87" s="30"/>
      <c r="AC87" s="6">
        <v>40544</v>
      </c>
      <c r="AD87" s="147">
        <f>IF(YEAR(Tabla2[[#This Row],[FECHA DE NACIMIENTO DEL ALUMNO]])&lt;&gt;1900,YEAR(Tabla2[[#This Row],[FECHA DE NACIMIENTO DEL ALUMNO]]),"")</f>
        <v>2011</v>
      </c>
      <c r="AE87" s="20">
        <v>600</v>
      </c>
      <c r="AF87" s="9"/>
      <c r="AG87" s="21"/>
      <c r="AH87" s="17"/>
      <c r="AI87" s="20"/>
      <c r="AJ87" s="9"/>
      <c r="AK87" s="17"/>
      <c r="AL87" s="236">
        <f>IF(Tabla2[[#This Row],[RECIBO ACTUAL]]=0,0,_xlfn.XLOOKUP(CONCATENATE(Tabla2[[#This Row],[CLASE]],Tabla2[[#This Row],[DURACIÓN]]),DevelupeMode!$P$4:$P$10,DevelupeMode!$Q$4:$Q$10,0))</f>
        <v>0</v>
      </c>
      <c r="AM87" s="157"/>
      <c r="AN87" s="9"/>
      <c r="AO87">
        <f>_xlfn.XLOOKUP(Tabla2[[#This Row],[CURSO]],DevelupeMode!$T$4:$T$11,DevelupeMode!$U$4:$U$11,AO86+1)</f>
        <v>6</v>
      </c>
    </row>
    <row r="88" spans="2:42" ht="15" hidden="1" customHeight="1" x14ac:dyDescent="0.25">
      <c r="B88" s="206"/>
      <c r="C88" s="205">
        <f>IFERROR(IF(Tabla2[[#This Row],[Status]]="",0,IF(LEFT(Tabla2[[#This Row],[Status]],4)="Baja",C87,C87+1)),1)</f>
        <v>15</v>
      </c>
      <c r="D88" s="87" t="s">
        <v>148</v>
      </c>
      <c r="E88" s="87" t="str">
        <f>IF(AND(Tabla2[[#This Row],[RECIBO ACTUAL]]="",Tabla2[[#This Row],[Status]]="Activo"),"paguenmelaren","")</f>
        <v/>
      </c>
      <c r="F88" s="87"/>
      <c r="G88" s="183">
        <v>45528</v>
      </c>
      <c r="H88" s="204" t="str">
        <f>IFERROR(CONCATENATE("AGS015",MID(Tabla2[[#This Row],[ALUMNO]],1,2),MID(Tabla2[[#This Row],[ALUMNO]],FIND(" ",Tabla2[[#This Row],[ALUMNO]],1)+1,2)),"Aguas")</f>
        <v>AGS015GaCa</v>
      </c>
      <c r="I88" s="7" t="s">
        <v>273</v>
      </c>
      <c r="J88" s="7">
        <f ca="1">IFERROR(YEAR(TODAY())-Tabla2[[#This Row],[año]],"")</f>
        <v>10</v>
      </c>
      <c r="K88" s="56" t="s">
        <v>83</v>
      </c>
      <c r="L88" s="9" t="s">
        <v>78</v>
      </c>
      <c r="M88" s="9"/>
      <c r="N88" s="9"/>
      <c r="O88" s="9" t="str">
        <f>IF(Tabla2[[#This Row],[MÉTODO]]="Yamaha","Royalty","")</f>
        <v/>
      </c>
      <c r="P88" s="9"/>
      <c r="Q88" s="9"/>
      <c r="R88" s="113" t="s">
        <v>96</v>
      </c>
      <c r="S88" s="11">
        <v>0.78125</v>
      </c>
      <c r="T88" s="113" t="s">
        <v>334</v>
      </c>
      <c r="U88" s="113"/>
      <c r="V88" s="113">
        <v>50</v>
      </c>
      <c r="W88" s="143"/>
      <c r="X88" s="39"/>
      <c r="Y88" s="12" t="s">
        <v>274</v>
      </c>
      <c r="Z88" s="143"/>
      <c r="AA88" s="143"/>
      <c r="AB88" s="30"/>
      <c r="AC88" s="6">
        <v>42370</v>
      </c>
      <c r="AD88" s="147">
        <f>IF(YEAR(Tabla2[[#This Row],[FECHA DE NACIMIENTO DEL ALUMNO]])&lt;&gt;1900,YEAR(Tabla2[[#This Row],[FECHA DE NACIMIENTO DEL ALUMNO]]),"")</f>
        <v>2016</v>
      </c>
      <c r="AE88" s="14">
        <v>600</v>
      </c>
      <c r="AF88" s="9"/>
      <c r="AG88" s="14">
        <v>511</v>
      </c>
      <c r="AH88" s="17"/>
      <c r="AI88" s="26"/>
      <c r="AJ88" s="9"/>
      <c r="AK88" s="17"/>
      <c r="AL88" s="236">
        <f>IF(Tabla2[[#This Row],[RECIBO ACTUAL]]=0,0,_xlfn.XLOOKUP(CONCATENATE(Tabla2[[#This Row],[CLASE]],Tabla2[[#This Row],[DURACIÓN]]),DevelupeMode!$P$4:$P$10,DevelupeMode!$Q$4:$Q$10,0))</f>
        <v>0</v>
      </c>
      <c r="AM88" s="9"/>
      <c r="AN88" s="9"/>
      <c r="AO88">
        <f>_xlfn.XLOOKUP(Tabla2[[#This Row],[CURSO]],DevelupeMode!$T$4:$T$11,DevelupeMode!$U$4:$U$11,AO87+1)</f>
        <v>6</v>
      </c>
    </row>
    <row r="89" spans="2:42" ht="15" customHeight="1" x14ac:dyDescent="0.25">
      <c r="B89" s="216"/>
      <c r="C89" s="205">
        <f>IFERROR(IF(Tabla2[[#This Row],[Status]]="",0,IF(LEFT(Tabla2[[#This Row],[Status]],4)="Baja",C88,C88+1)),1)</f>
        <v>16</v>
      </c>
      <c r="D89" s="261" t="s">
        <v>19</v>
      </c>
      <c r="E89" s="88" t="str">
        <f>IF(AND(Tabla2[[#This Row],[RECIBO ACTUAL]]="",Tabla2[[#This Row],[Status]]="Activo"),"paguenmelaren","")</f>
        <v/>
      </c>
      <c r="F89" s="87" t="s">
        <v>601</v>
      </c>
      <c r="G89" s="262">
        <v>46077</v>
      </c>
      <c r="H89" s="204" t="str">
        <f>IFERROR(CONCATENATE("AGS015",MID(Tabla2[[#This Row],[ALUMNO]],1,2),MID(Tabla2[[#This Row],[ALUMNO]],FIND(" ",Tabla2[[#This Row],[ALUMNO]],1)+1,2)),"Aguas")</f>
        <v>AGS015AnLu</v>
      </c>
      <c r="I89" s="263" t="s">
        <v>599</v>
      </c>
      <c r="J89" s="104">
        <f ca="1">IFERROR(YEAR(TODAY())-Tabla2[[#This Row],[año]],"")</f>
        <v>16</v>
      </c>
      <c r="K89" s="264" t="s">
        <v>425</v>
      </c>
      <c r="L89" s="265" t="s">
        <v>78</v>
      </c>
      <c r="M89" s="23"/>
      <c r="N89" s="23"/>
      <c r="O89" s="23" t="str">
        <f>IF(Tabla2[[#This Row],[MÉTODO]]="Yamaha","Royalty","")</f>
        <v/>
      </c>
      <c r="P89" s="84"/>
      <c r="Q89" s="84"/>
      <c r="R89" s="266" t="s">
        <v>610</v>
      </c>
      <c r="S89" s="276">
        <v>0.66666666666666663</v>
      </c>
      <c r="T89" s="266" t="s">
        <v>334</v>
      </c>
      <c r="U89" s="84"/>
      <c r="V89" s="266">
        <v>50</v>
      </c>
      <c r="W89" s="267" t="s">
        <v>600</v>
      </c>
      <c r="X89" s="50"/>
      <c r="Y89" s="84"/>
      <c r="Z89" s="84"/>
      <c r="AA89" s="84"/>
      <c r="AB89" s="51"/>
      <c r="AC89" s="268">
        <v>40179</v>
      </c>
      <c r="AD89" s="52">
        <f>IF(YEAR(Tabla2[[#This Row],[FECHA DE NACIMIENTO DEL ALUMNO]])&lt;&gt;1900,YEAR(Tabla2[[#This Row],[FECHA DE NACIMIENTO DEL ALUMNO]]),"")</f>
        <v>2010</v>
      </c>
      <c r="AE89" s="84"/>
      <c r="AF89" s="23"/>
      <c r="AG89" s="18"/>
      <c r="AH89" s="202">
        <v>625</v>
      </c>
      <c r="AI89" s="73"/>
      <c r="AJ89" s="23"/>
      <c r="AK89" s="202">
        <v>677</v>
      </c>
      <c r="AL89" s="236">
        <f>IF(Tabla2[[#This Row],[RECIBO ACTUAL]]=0,0,_xlfn.XLOOKUP(CONCATENATE(Tabla2[[#This Row],[CLASE]],Tabla2[[#This Row],[DURACIÓN]]),DevelupeMode!$P$4:$P$10,DevelupeMode!$Q$4:$Q$10,0))</f>
        <v>1100</v>
      </c>
      <c r="AM89" s="32" t="s">
        <v>56</v>
      </c>
      <c r="AN89" s="23"/>
      <c r="AO89">
        <f>_xlfn.XLOOKUP(Tabla2[[#This Row],[CURSO]],DevelupeMode!$T$4:$T$11,DevelupeMode!$U$4:$U$11,AO88+1)</f>
        <v>6</v>
      </c>
      <c r="AP89" s="81"/>
    </row>
    <row r="90" spans="2:42" ht="15" hidden="1" customHeight="1" x14ac:dyDescent="0.25">
      <c r="B90" s="206"/>
      <c r="C90" s="205">
        <f>IFERROR(IF(Tabla2[[#This Row],[Status]]="",0,IF(LEFT(Tabla2[[#This Row],[Status]],4)="Baja",C89,C89+1)),1)</f>
        <v>16</v>
      </c>
      <c r="D90" s="87" t="s">
        <v>148</v>
      </c>
      <c r="E90" s="87" t="str">
        <f>IF(AND(Tabla2[[#This Row],[RECIBO ACTUAL]]="",Tabla2[[#This Row],[Status]]="Activo"),"paguenmelaren","")</f>
        <v/>
      </c>
      <c r="F90" s="87"/>
      <c r="G90" s="182">
        <v>45778</v>
      </c>
      <c r="H90" s="204" t="str">
        <f>IFERROR(CONCATENATE("AGS015",MID(Tabla2[[#This Row],[ALUMNO]],1,2),MID(Tabla2[[#This Row],[ALUMNO]],FIND(" ",Tabla2[[#This Row],[ALUMNO]],1)+1,2)),"Aguas")</f>
        <v>AGS015ClEs</v>
      </c>
      <c r="I90" s="104" t="s">
        <v>543</v>
      </c>
      <c r="J90" s="7">
        <f ca="1">IFERROR(YEAR(TODAY())-Tabla2[[#This Row],[año]],"")</f>
        <v>13</v>
      </c>
      <c r="K90" s="56" t="s">
        <v>83</v>
      </c>
      <c r="L90" s="9" t="s">
        <v>78</v>
      </c>
      <c r="M90" s="23"/>
      <c r="N90" s="23"/>
      <c r="O90" s="23"/>
      <c r="P90" s="23"/>
      <c r="Q90" s="23"/>
      <c r="R90" s="113" t="s">
        <v>96</v>
      </c>
      <c r="S90" s="70">
        <v>0.76041666666666663</v>
      </c>
      <c r="T90" s="113" t="s">
        <v>113</v>
      </c>
      <c r="U90" s="113" t="s">
        <v>390</v>
      </c>
      <c r="V90" s="112">
        <v>30</v>
      </c>
      <c r="W90" s="144"/>
      <c r="X90" s="50" t="s">
        <v>351</v>
      </c>
      <c r="Y90" s="146" t="s">
        <v>350</v>
      </c>
      <c r="Z90" s="146"/>
      <c r="AA90" s="146"/>
      <c r="AB90" s="51"/>
      <c r="AC90" s="52">
        <v>41275</v>
      </c>
      <c r="AD90" s="147">
        <f>IF(YEAR(Tabla2[[#This Row],[FECHA DE NACIMIENTO DEL ALUMNO]])&lt;&gt;1900,YEAR(Tabla2[[#This Row],[FECHA DE NACIMIENTO DEL ALUMNO]]),"")</f>
        <v>2013</v>
      </c>
      <c r="AE90" s="20"/>
      <c r="AF90" s="41"/>
      <c r="AG90" s="153"/>
      <c r="AH90" s="71"/>
      <c r="AI90" s="73"/>
      <c r="AJ90" s="35"/>
      <c r="AK90" s="71"/>
      <c r="AL90" s="236">
        <f>IF(Tabla2[[#This Row],[RECIBO ACTUAL]]=0,0,_xlfn.XLOOKUP(CONCATENATE(Tabla2[[#This Row],[CLASE]],Tabla2[[#This Row],[DURACIÓN]]),DevelupeMode!$P$4:$P$10,DevelupeMode!$Q$4:$Q$10,0))</f>
        <v>0</v>
      </c>
      <c r="AM90" s="9"/>
      <c r="AN90" s="22"/>
      <c r="AO90">
        <f>_xlfn.XLOOKUP(Tabla2[[#This Row],[CURSO]],DevelupeMode!$T$4:$T$11,DevelupeMode!$U$4:$U$11,AO89+1)</f>
        <v>6</v>
      </c>
    </row>
    <row r="91" spans="2:42" ht="15" hidden="1" customHeight="1" x14ac:dyDescent="0.25">
      <c r="B91" s="206"/>
      <c r="C91" s="205">
        <f>IFERROR(IF(Tabla2[[#This Row],[Status]]="",0,IF(LEFT(Tabla2[[#This Row],[Status]],4)="Baja",C90,C90+1)),1)</f>
        <v>16</v>
      </c>
      <c r="D91" s="87" t="s">
        <v>148</v>
      </c>
      <c r="E91" s="87" t="str">
        <f>IF(AND(Tabla2[[#This Row],[RECIBO ACTUAL]]="",Tabla2[[#This Row],[Status]]="Activo"),"paguenmelaren","")</f>
        <v/>
      </c>
      <c r="F91" s="87"/>
      <c r="G91" s="182">
        <v>45620</v>
      </c>
      <c r="H91" s="204" t="str">
        <f>IFERROR(CONCATENATE("AGS015",MID(Tabla2[[#This Row],[ALUMNO]],1,2),MID(Tabla2[[#This Row],[ALUMNO]],FIND(" ",Tabla2[[#This Row],[ALUMNO]],1)+1,2)),"Aguas")</f>
        <v>AGS015AlPe</v>
      </c>
      <c r="I91" s="7" t="s">
        <v>401</v>
      </c>
      <c r="J91" s="7">
        <f ca="1">IFERROR(YEAR(TODAY())-Tabla2[[#This Row],[año]],"")</f>
        <v>30</v>
      </c>
      <c r="K91" s="56" t="s">
        <v>83</v>
      </c>
      <c r="L91" s="9" t="s">
        <v>78</v>
      </c>
      <c r="M91" s="9"/>
      <c r="N91" s="9"/>
      <c r="O91" s="9"/>
      <c r="P91" s="9"/>
      <c r="Q91" s="9"/>
      <c r="R91" s="113" t="s">
        <v>35</v>
      </c>
      <c r="S91" s="11">
        <v>0.52083333333333337</v>
      </c>
      <c r="T91" s="113" t="s">
        <v>113</v>
      </c>
      <c r="U91" s="113" t="s">
        <v>389</v>
      </c>
      <c r="V91" s="113">
        <v>30</v>
      </c>
      <c r="W91" s="12" t="s">
        <v>402</v>
      </c>
      <c r="X91" s="39"/>
      <c r="Y91" s="39"/>
      <c r="Z91" s="39"/>
      <c r="AA91" s="39"/>
      <c r="AB91" s="13"/>
      <c r="AC91" s="25">
        <v>35065</v>
      </c>
      <c r="AD91" s="147">
        <f>IF(YEAR(Tabla2[[#This Row],[FECHA DE NACIMIENTO DEL ALUMNO]])&lt;&gt;1900,YEAR(Tabla2[[#This Row],[FECHA DE NACIMIENTO DEL ALUMNO]]),"")</f>
        <v>1996</v>
      </c>
      <c r="AE91" s="14"/>
      <c r="AF91" s="15"/>
      <c r="AG91" s="16"/>
      <c r="AH91" s="17"/>
      <c r="AI91" s="20"/>
      <c r="AJ91" s="19"/>
      <c r="AK91" s="17"/>
      <c r="AL91" s="236">
        <f>IF(Tabla2[[#This Row],[RECIBO ACTUAL]]=0,0,_xlfn.XLOOKUP(CONCATENATE(Tabla2[[#This Row],[CLASE]],Tabla2[[#This Row],[DURACIÓN]]),DevelupeMode!$P$4:$P$10,DevelupeMode!$Q$4:$Q$10,0))</f>
        <v>0</v>
      </c>
      <c r="AM91" s="9"/>
      <c r="AN91" s="22"/>
      <c r="AO91">
        <f>_xlfn.XLOOKUP(Tabla2[[#This Row],[CURSO]],DevelupeMode!$T$4:$T$11,DevelupeMode!$U$4:$U$11,AO90+1)</f>
        <v>6</v>
      </c>
    </row>
    <row r="92" spans="2:42" ht="15" customHeight="1" x14ac:dyDescent="0.25">
      <c r="B92" s="216"/>
      <c r="C92" s="205">
        <f>IFERROR(IF(Tabla2[[#This Row],[Status]]="",0,IF(LEFT(Tabla2[[#This Row],[Status]],4)="Baja",C91,C91+1)),1)</f>
        <v>17</v>
      </c>
      <c r="D92" s="261" t="s">
        <v>19</v>
      </c>
      <c r="E92" s="88" t="str">
        <f>IF(AND(Tabla2[[#This Row],[RECIBO ACTUAL]]="",Tabla2[[#This Row],[Status]]="Activo"),"paguenmelaren","")</f>
        <v/>
      </c>
      <c r="F92" s="87" t="s">
        <v>601</v>
      </c>
      <c r="G92" s="262">
        <v>46077</v>
      </c>
      <c r="H92" s="204" t="str">
        <f>IFERROR(CONCATENATE("AGS015",MID(Tabla2[[#This Row],[ALUMNO]],1,2),MID(Tabla2[[#This Row],[ALUMNO]],FIND(" ",Tabla2[[#This Row],[ALUMNO]],1)+1,2)),"Aguas")</f>
        <v>AGS015Hede</v>
      </c>
      <c r="I92" s="263" t="s">
        <v>608</v>
      </c>
      <c r="J92" s="104">
        <f ca="1">IFERROR(YEAR(TODAY())-Tabla2[[#This Row],[año]],"")</f>
        <v>16</v>
      </c>
      <c r="K92" s="264" t="s">
        <v>425</v>
      </c>
      <c r="L92" s="265" t="s">
        <v>78</v>
      </c>
      <c r="M92" s="23"/>
      <c r="N92" s="23"/>
      <c r="O92" s="23" t="str">
        <f>IF(Tabla2[[#This Row],[MÉTODO]]="Yamaha","Royalty","")</f>
        <v/>
      </c>
      <c r="P92" s="84"/>
      <c r="Q92" s="84"/>
      <c r="R92" s="266" t="s">
        <v>610</v>
      </c>
      <c r="S92" s="276">
        <v>0.66666666666666663</v>
      </c>
      <c r="T92" s="266" t="s">
        <v>334</v>
      </c>
      <c r="U92" s="84"/>
      <c r="V92" s="266">
        <v>50</v>
      </c>
      <c r="W92" s="267" t="s">
        <v>600</v>
      </c>
      <c r="X92" s="50"/>
      <c r="Y92" s="84"/>
      <c r="Z92" s="84"/>
      <c r="AA92" s="84"/>
      <c r="AB92" s="51"/>
      <c r="AC92" s="268">
        <v>40179</v>
      </c>
      <c r="AD92" s="52">
        <f>IF(YEAR(Tabla2[[#This Row],[FECHA DE NACIMIENTO DEL ALUMNO]])&lt;&gt;1900,YEAR(Tabla2[[#This Row],[FECHA DE NACIMIENTO DEL ALUMNO]]),"")</f>
        <v>2010</v>
      </c>
      <c r="AE92" s="84"/>
      <c r="AF92" s="23"/>
      <c r="AG92" s="18"/>
      <c r="AH92" s="202">
        <v>625</v>
      </c>
      <c r="AI92" s="73"/>
      <c r="AJ92" s="23"/>
      <c r="AK92" s="202">
        <v>677</v>
      </c>
      <c r="AL92" s="236">
        <f>IF(Tabla2[[#This Row],[RECIBO ACTUAL]]=0,0,_xlfn.XLOOKUP(CONCATENATE(Tabla2[[#This Row],[CLASE]],Tabla2[[#This Row],[DURACIÓN]]),DevelupeMode!$P$4:$P$10,DevelupeMode!$Q$4:$Q$10,0))</f>
        <v>1100</v>
      </c>
      <c r="AM92" s="32" t="s">
        <v>56</v>
      </c>
      <c r="AN92" s="23"/>
      <c r="AO92">
        <f>_xlfn.XLOOKUP(Tabla2[[#This Row],[CURSO]],DevelupeMode!$T$4:$T$11,DevelupeMode!$U$4:$U$11,AO91+1)</f>
        <v>6</v>
      </c>
      <c r="AP92" s="81"/>
    </row>
    <row r="93" spans="2:42" ht="15" customHeight="1" x14ac:dyDescent="0.25">
      <c r="B93" s="206"/>
      <c r="C93" s="205">
        <f>IFERROR(IF(Tabla2[[#This Row],[Status]]="",0,IF(LEFT(Tabla2[[#This Row],[Status]],4)="Baja",C92,C92+1)),1)</f>
        <v>18</v>
      </c>
      <c r="D93" s="87" t="s">
        <v>19</v>
      </c>
      <c r="E93" s="87" t="str">
        <f>IF(AND(Tabla2[[#This Row],[RECIBO ACTUAL]]="",Tabla2[[#This Row],[Status]]="Activo"),"paguenmelaren","")</f>
        <v/>
      </c>
      <c r="F93" s="87"/>
      <c r="G93" s="182">
        <v>45745</v>
      </c>
      <c r="H93" s="204" t="str">
        <f>IFERROR(CONCATENATE("AGS015",MID(Tabla2[[#This Row],[ALUMNO]],1,2),MID(Tabla2[[#This Row],[ALUMNO]],FIND(" ",Tabla2[[#This Row],[ALUMNO]],1)+1,2)),"Aguas")</f>
        <v>AGS015SaKa</v>
      </c>
      <c r="I93" s="7" t="s">
        <v>484</v>
      </c>
      <c r="J93" s="7">
        <f ca="1">IFERROR(YEAR(TODAY())-Tabla2[[#This Row],[año]],"")</f>
        <v>7</v>
      </c>
      <c r="K93" s="177" t="s">
        <v>425</v>
      </c>
      <c r="L93" s="9" t="s">
        <v>544</v>
      </c>
      <c r="M93" s="9"/>
      <c r="N93" s="9" t="s">
        <v>24</v>
      </c>
      <c r="O93" s="9" t="s">
        <v>426</v>
      </c>
      <c r="P93" s="9"/>
      <c r="Q93" s="9"/>
      <c r="R93" s="266" t="s">
        <v>612</v>
      </c>
      <c r="S93" s="11">
        <v>0.70833333333333337</v>
      </c>
      <c r="T93" s="113" t="s">
        <v>426</v>
      </c>
      <c r="U93" s="113"/>
      <c r="V93" s="113">
        <v>50</v>
      </c>
      <c r="W93" s="142">
        <v>4491083062</v>
      </c>
      <c r="X93" s="12"/>
      <c r="Y93" s="142">
        <v>4491083062</v>
      </c>
      <c r="Z93" s="12"/>
      <c r="AA93" s="12"/>
      <c r="AB93" s="28"/>
      <c r="AC93" s="6">
        <v>43466</v>
      </c>
      <c r="AD93" s="147">
        <f>IF(YEAR(Tabla2[[#This Row],[FECHA DE NACIMIENTO DEL ALUMNO]])&lt;&gt;1900,YEAR(Tabla2[[#This Row],[FECHA DE NACIMIENTO DEL ALUMNO]]),"")</f>
        <v>2019</v>
      </c>
      <c r="AE93" s="14"/>
      <c r="AF93" s="15"/>
      <c r="AG93" s="14"/>
      <c r="AH93" s="71">
        <v>641</v>
      </c>
      <c r="AI93" s="73"/>
      <c r="AJ93" s="55"/>
      <c r="AK93" s="71">
        <v>661</v>
      </c>
      <c r="AL93" s="236">
        <f>IF(Tabla2[[#This Row],[RECIBO ACTUAL]]=0,0,_xlfn.XLOOKUP(CONCATENATE(Tabla2[[#This Row],[CLASE]],Tabla2[[#This Row],[DURACIÓN]]),DevelupeMode!$P$4:$P$10,DevelupeMode!$Q$4:$Q$10,0))</f>
        <v>1100</v>
      </c>
      <c r="AM93" s="9" t="s">
        <v>554</v>
      </c>
      <c r="AN93" s="22"/>
      <c r="AO93">
        <f>_xlfn.XLOOKUP(Tabla2[[#This Row],[CURSO]],DevelupeMode!$T$4:$T$11,DevelupeMode!$U$4:$U$11,AO92+1)</f>
        <v>8</v>
      </c>
    </row>
    <row r="94" spans="2:42" ht="15" customHeight="1" x14ac:dyDescent="0.25">
      <c r="B94" s="206"/>
      <c r="C94" s="205">
        <f>IFERROR(IF(Tabla2[[#This Row],[Status]]="",0,IF(LEFT(Tabla2[[#This Row],[Status]],4)="Baja",C93,C93+1)),1)</f>
        <v>19</v>
      </c>
      <c r="D94" s="87" t="s">
        <v>19</v>
      </c>
      <c r="E94" s="87" t="str">
        <f>IF(AND(Tabla2[[#This Row],[RECIBO ACTUAL]]="",Tabla2[[#This Row],[Status]]="Activo"),"paguenmelaren","")</f>
        <v/>
      </c>
      <c r="F94" s="87"/>
      <c r="G94" s="182">
        <v>45745</v>
      </c>
      <c r="H94" s="204" t="str">
        <f>IFERROR(CONCATENATE("AGS015",MID(Tabla2[[#This Row],[ALUMNO]],1,2),MID(Tabla2[[#This Row],[ALUMNO]],FIND(" ",Tabla2[[#This Row],[ALUMNO]],1)+1,2)),"Aguas")</f>
        <v>AGS015RiYo</v>
      </c>
      <c r="I94" s="7" t="s">
        <v>485</v>
      </c>
      <c r="J94" s="7">
        <f ca="1">IFERROR(YEAR(TODAY())-Tabla2[[#This Row],[año]],"")</f>
        <v>7</v>
      </c>
      <c r="K94" s="177" t="s">
        <v>425</v>
      </c>
      <c r="L94" s="9" t="s">
        <v>544</v>
      </c>
      <c r="M94" s="9"/>
      <c r="N94" s="9" t="s">
        <v>24</v>
      </c>
      <c r="O94" s="9" t="s">
        <v>426</v>
      </c>
      <c r="P94" s="9"/>
      <c r="Q94" s="9"/>
      <c r="R94" s="266" t="s">
        <v>612</v>
      </c>
      <c r="S94" s="11">
        <v>0.70833333333333337</v>
      </c>
      <c r="T94" s="113" t="s">
        <v>426</v>
      </c>
      <c r="U94" s="113"/>
      <c r="V94" s="113">
        <v>50</v>
      </c>
      <c r="W94" s="142" t="s">
        <v>486</v>
      </c>
      <c r="X94" s="12" t="s">
        <v>487</v>
      </c>
      <c r="Y94" s="142" t="s">
        <v>486</v>
      </c>
      <c r="Z94" s="12"/>
      <c r="AA94" s="12"/>
      <c r="AB94" s="28"/>
      <c r="AC94" s="6">
        <v>43466</v>
      </c>
      <c r="AD94" s="147">
        <f>IF(YEAR(Tabla2[[#This Row],[FECHA DE NACIMIENTO DEL ALUMNO]])&lt;&gt;1900,YEAR(Tabla2[[#This Row],[FECHA DE NACIMIENTO DEL ALUMNO]]),"")</f>
        <v>2019</v>
      </c>
      <c r="AE94" s="14"/>
      <c r="AF94" s="15"/>
      <c r="AG94" s="14"/>
      <c r="AH94" s="202">
        <v>640</v>
      </c>
      <c r="AI94" s="73"/>
      <c r="AJ94" s="55"/>
      <c r="AK94" s="202">
        <v>671</v>
      </c>
      <c r="AL94" s="236">
        <f>IF(Tabla2[[#This Row],[RECIBO ACTUAL]]=0,0,_xlfn.XLOOKUP(CONCATENATE(Tabla2[[#This Row],[CLASE]],Tabla2[[#This Row],[DURACIÓN]]),DevelupeMode!$P$4:$P$10,DevelupeMode!$Q$4:$Q$10,0))</f>
        <v>1100</v>
      </c>
      <c r="AM94" s="21" t="s">
        <v>554</v>
      </c>
      <c r="AN94" s="22"/>
      <c r="AO94">
        <f>_xlfn.XLOOKUP(Tabla2[[#This Row],[CURSO]],DevelupeMode!$T$4:$T$11,DevelupeMode!$U$4:$U$11,AO93+1)</f>
        <v>8</v>
      </c>
    </row>
    <row r="95" spans="2:42" ht="15" customHeight="1" x14ac:dyDescent="0.25">
      <c r="B95" s="206"/>
      <c r="C95" s="205">
        <f>IFERROR(IF(Tabla2[[#This Row],[Status]]="",0,IF(LEFT(Tabla2[[#This Row],[Status]],4)="Baja",C94,C94+1)),1)</f>
        <v>20</v>
      </c>
      <c r="D95" s="87" t="s">
        <v>19</v>
      </c>
      <c r="E95" s="87" t="str">
        <f>IF(AND(Tabla2[[#This Row],[RECIBO ACTUAL]]="",Tabla2[[#This Row],[Status]]="Activo"),"paguenmelaren","")</f>
        <v/>
      </c>
      <c r="F95" s="87"/>
      <c r="G95" s="182">
        <v>45748</v>
      </c>
      <c r="H95" s="204" t="str">
        <f>IFERROR(CONCATENATE("AGS015",MID(Tabla2[[#This Row],[ALUMNO]],1,2),MID(Tabla2[[#This Row],[ALUMNO]],FIND(" ",Tabla2[[#This Row],[ALUMNO]],1)+1,2)),"Aguas")</f>
        <v>AGS015EmAl</v>
      </c>
      <c r="I95" s="7" t="s">
        <v>495</v>
      </c>
      <c r="J95" s="7">
        <f ca="1">IFERROR(YEAR(TODAY())-Tabla2[[#This Row],[año]],"")</f>
        <v>7</v>
      </c>
      <c r="K95" s="177" t="s">
        <v>425</v>
      </c>
      <c r="L95" s="9" t="s">
        <v>544</v>
      </c>
      <c r="M95" s="9"/>
      <c r="N95" s="9" t="s">
        <v>24</v>
      </c>
      <c r="O95" s="9" t="s">
        <v>426</v>
      </c>
      <c r="P95" s="9"/>
      <c r="Q95" s="9"/>
      <c r="R95" s="266" t="s">
        <v>612</v>
      </c>
      <c r="S95" s="11">
        <v>0.70833333333333337</v>
      </c>
      <c r="T95" s="113" t="s">
        <v>426</v>
      </c>
      <c r="U95" s="113"/>
      <c r="V95" s="113">
        <v>50</v>
      </c>
      <c r="W95" s="142" t="s">
        <v>497</v>
      </c>
      <c r="X95" s="12" t="s">
        <v>496</v>
      </c>
      <c r="Y95" s="142" t="s">
        <v>497</v>
      </c>
      <c r="Z95" s="12"/>
      <c r="AA95" s="12"/>
      <c r="AB95" s="28"/>
      <c r="AC95" s="6">
        <v>43713</v>
      </c>
      <c r="AD95" s="147">
        <f>IF(YEAR(Tabla2[[#This Row],[FECHA DE NACIMIENTO DEL ALUMNO]])&lt;&gt;1900,YEAR(Tabla2[[#This Row],[FECHA DE NACIMIENTO DEL ALUMNO]]),"")</f>
        <v>2019</v>
      </c>
      <c r="AE95" s="14"/>
      <c r="AF95" s="15"/>
      <c r="AG95" s="14"/>
      <c r="AH95" s="202">
        <v>639</v>
      </c>
      <c r="AI95" s="73"/>
      <c r="AJ95" s="55"/>
      <c r="AK95" s="202">
        <v>668</v>
      </c>
      <c r="AL95" s="236">
        <f>IF(Tabla2[[#This Row],[RECIBO ACTUAL]]=0,0,_xlfn.XLOOKUP(CONCATENATE(Tabla2[[#This Row],[CLASE]],Tabla2[[#This Row],[DURACIÓN]]),DevelupeMode!$P$4:$P$10,DevelupeMode!$Q$4:$Q$10,0))</f>
        <v>1100</v>
      </c>
      <c r="AM95" s="21" t="s">
        <v>56</v>
      </c>
      <c r="AN95" s="22"/>
      <c r="AO95">
        <f>_xlfn.XLOOKUP(Tabla2[[#This Row],[CURSO]],DevelupeMode!$T$4:$T$11,DevelupeMode!$U$4:$U$11,AO94+1)</f>
        <v>8</v>
      </c>
    </row>
    <row r="96" spans="2:42" ht="15" hidden="1" customHeight="1" x14ac:dyDescent="0.25">
      <c r="B96" s="206"/>
      <c r="C96" s="205">
        <f>IFERROR(IF(Tabla2[[#This Row],[Status]]="",0,IF(LEFT(Tabla2[[#This Row],[Status]],4)="Baja",C95,C95+1)),1)</f>
        <v>20</v>
      </c>
      <c r="D96" s="188" t="s">
        <v>148</v>
      </c>
      <c r="E96" s="88" t="str">
        <f>IF(AND(Tabla2[[#This Row],[RECIBO ACTUAL]]="",Tabla2[[#This Row],[Status]]="Activo"),"paguenmelaren","")</f>
        <v/>
      </c>
      <c r="F96" s="87"/>
      <c r="G96" s="182">
        <v>45888</v>
      </c>
      <c r="H96" s="204" t="str">
        <f>IFERROR(CONCATENATE("AGS015",MID(Tabla2[[#This Row],[ALUMNO]],1,2),MID(Tabla2[[#This Row],[ALUMNO]],FIND(" ",Tabla2[[#This Row],[ALUMNO]],1)+1,2)),"Aguas")</f>
        <v>AGS015RoBu</v>
      </c>
      <c r="I96" s="7" t="s">
        <v>537</v>
      </c>
      <c r="J96" s="104" t="str">
        <f ca="1">IFERROR(YEAR(TODAY())-Tabla2[[#This Row],[año]],"")</f>
        <v/>
      </c>
      <c r="K96" s="56" t="s">
        <v>83</v>
      </c>
      <c r="L96" s="9" t="s">
        <v>78</v>
      </c>
      <c r="M96" s="9"/>
      <c r="N96" s="9"/>
      <c r="O96" s="9" t="str">
        <f>IF(Tabla2[[#This Row],[MÉTODO]]="Yamaha","Royalty","")</f>
        <v/>
      </c>
      <c r="P96" s="9"/>
      <c r="Q96" s="9"/>
      <c r="R96" s="112" t="s">
        <v>58</v>
      </c>
      <c r="S96" s="11">
        <v>0.79166666666666663</v>
      </c>
      <c r="T96" s="113" t="s">
        <v>334</v>
      </c>
      <c r="U96" s="113"/>
      <c r="V96" s="112">
        <v>50</v>
      </c>
      <c r="W96" s="142"/>
      <c r="X96" s="237"/>
      <c r="Y96" s="142"/>
      <c r="Z96" s="142"/>
      <c r="AA96" s="142"/>
      <c r="AB96" s="51"/>
      <c r="AC96" s="233"/>
      <c r="AD96" s="147" t="str">
        <f>IF(YEAR(Tabla2[[#This Row],[FECHA DE NACIMIENTO DEL ALUMNO]])&lt;&gt;1900,YEAR(Tabla2[[#This Row],[FECHA DE NACIMIENTO DEL ALUMNO]]),"")</f>
        <v/>
      </c>
      <c r="AE96" s="14"/>
      <c r="AF96" s="15"/>
      <c r="AG96" s="14"/>
      <c r="AH96" s="71"/>
      <c r="AI96" s="73"/>
      <c r="AJ96" s="19"/>
      <c r="AK96" s="71"/>
      <c r="AL96" s="236">
        <f>IF(Tabla2[[#This Row],[RECIBO ACTUAL]]=0,0,_xlfn.XLOOKUP(CONCATENATE(Tabla2[[#This Row],[CLASE]],Tabla2[[#This Row],[DURACIÓN]]),DevelupeMode!$P$4:$P$10,DevelupeMode!$Q$4:$Q$10,0))</f>
        <v>0</v>
      </c>
      <c r="AM96" s="232"/>
      <c r="AN96" s="22"/>
      <c r="AO96">
        <f>_xlfn.XLOOKUP(Tabla2[[#This Row],[CURSO]],DevelupeMode!$T$4:$T$11,DevelupeMode!$U$4:$U$11,AO95+1)</f>
        <v>6</v>
      </c>
    </row>
    <row r="97" spans="2:42" ht="15" hidden="1" customHeight="1" x14ac:dyDescent="0.25">
      <c r="B97" s="206"/>
      <c r="C97" s="205">
        <f>IFERROR(IF(Tabla2[[#This Row],[Status]]="",0,IF(LEFT(Tabla2[[#This Row],[Status]],4)="Baja",C96,C96+1)),1)</f>
        <v>20</v>
      </c>
      <c r="D97" s="87" t="s">
        <v>148</v>
      </c>
      <c r="E97" s="87" t="str">
        <f>IF(AND(Tabla2[[#This Row],[RECIBO ACTUAL]]="",Tabla2[[#This Row],[Status]]="Activo"),"paguenmelaren","")</f>
        <v/>
      </c>
      <c r="F97" s="87">
        <v>-1</v>
      </c>
      <c r="G97" s="182">
        <v>45809</v>
      </c>
      <c r="H97" s="204" t="str">
        <f>IFERROR(CONCATENATE("AGS015",MID(Tabla2[[#This Row],[ALUMNO]],1,2),MID(Tabla2[[#This Row],[ALUMNO]],FIND(" ",Tabla2[[#This Row],[ALUMNO]],1)+1,2)),"Aguas")</f>
        <v>AGS015KoSa</v>
      </c>
      <c r="I97" s="104" t="s">
        <v>520</v>
      </c>
      <c r="J97" s="7">
        <f ca="1">IFERROR(YEAR(TODAY())-Tabla2[[#This Row],[año]],"")</f>
        <v>8</v>
      </c>
      <c r="K97" s="254" t="s">
        <v>83</v>
      </c>
      <c r="L97" s="9" t="s">
        <v>78</v>
      </c>
      <c r="M97" s="23"/>
      <c r="N97" s="23"/>
      <c r="O97" s="23"/>
      <c r="P97" s="23"/>
      <c r="Q97" s="23"/>
      <c r="R97" s="113" t="s">
        <v>611</v>
      </c>
      <c r="S97" s="70">
        <v>0.70833333333333337</v>
      </c>
      <c r="T97" s="113" t="s">
        <v>113</v>
      </c>
      <c r="U97" s="113" t="s">
        <v>390</v>
      </c>
      <c r="V97" s="112">
        <v>45</v>
      </c>
      <c r="W97" s="144"/>
      <c r="X97" s="50" t="s">
        <v>516</v>
      </c>
      <c r="Y97" s="146" t="s">
        <v>515</v>
      </c>
      <c r="Z97" s="146"/>
      <c r="AA97" s="146"/>
      <c r="AB97" s="51"/>
      <c r="AC97" s="52">
        <v>43101</v>
      </c>
      <c r="AD97" s="147">
        <f>IF(YEAR(Tabla2[[#This Row],[FECHA DE NACIMIENTO DEL ALUMNO]])&lt;&gt;1900,YEAR(Tabla2[[#This Row],[FECHA DE NACIMIENTO DEL ALUMNO]]),"")</f>
        <v>2018</v>
      </c>
      <c r="AE97" s="20"/>
      <c r="AF97" s="41"/>
      <c r="AG97" s="153"/>
      <c r="AH97" s="71">
        <v>636</v>
      </c>
      <c r="AI97" s="73"/>
      <c r="AJ97" s="35"/>
      <c r="AK97" s="71"/>
      <c r="AL97" s="236">
        <f>IF(Tabla2[[#This Row],[RECIBO ACTUAL]]=0,0,_xlfn.XLOOKUP(CONCATENATE(Tabla2[[#This Row],[CLASE]],Tabla2[[#This Row],[DURACIÓN]]),DevelupeMode!$P$4:$P$10,DevelupeMode!$Q$4:$Q$10,0))</f>
        <v>0</v>
      </c>
      <c r="AM97" s="21" t="s">
        <v>602</v>
      </c>
      <c r="AN97" s="22"/>
      <c r="AO97">
        <f>_xlfn.XLOOKUP(Tabla2[[#This Row],[CURSO]],DevelupeMode!$T$4:$T$11,DevelupeMode!$U$4:$U$11,AO96+1)</f>
        <v>6</v>
      </c>
    </row>
    <row r="98" spans="2:42" ht="15" hidden="1" customHeight="1" x14ac:dyDescent="0.25">
      <c r="B98" s="206"/>
      <c r="C98" s="205">
        <f>IFERROR(IF(Tabla2[[#This Row],[Status]]="",0,IF(LEFT(Tabla2[[#This Row],[Status]],4)="Baja",C97,C97+1)),1)</f>
        <v>20</v>
      </c>
      <c r="D98" s="87" t="s">
        <v>148</v>
      </c>
      <c r="E98" s="88" t="str">
        <f>IF(AND(Tabla2[[#This Row],[RECIBO ACTUAL]]="",Tabla2[[#This Row],[Status]]="Activo"),"paguenmelaren","")</f>
        <v/>
      </c>
      <c r="F98" s="87"/>
      <c r="G98" s="182">
        <v>45658</v>
      </c>
      <c r="H98" s="204" t="str">
        <f>IFERROR(CONCATENATE("AGS015",MID(Tabla2[[#This Row],[ALUMNO]],1,2),MID(Tabla2[[#This Row],[ALUMNO]],FIND(" ",Tabla2[[#This Row],[ALUMNO]],1)+1,2)),"Aguas")</f>
        <v>AGS015JoRo</v>
      </c>
      <c r="I98" s="7" t="s">
        <v>527</v>
      </c>
      <c r="J98" s="7">
        <f ca="1">IFERROR(YEAR(TODAY())-Tabla2[[#This Row],[año]],"")</f>
        <v>17</v>
      </c>
      <c r="K98" s="177" t="s">
        <v>425</v>
      </c>
      <c r="L98" s="9" t="s">
        <v>78</v>
      </c>
      <c r="M98" s="158"/>
      <c r="N98" s="158"/>
      <c r="O98" s="158" t="str">
        <f>IF(Tabla2[[#This Row],[MÉTODO]]="Yamaha","Royalty","")</f>
        <v/>
      </c>
      <c r="P98" s="9"/>
      <c r="Q98" s="9"/>
      <c r="R98" s="192" t="s">
        <v>96</v>
      </c>
      <c r="S98" s="11">
        <v>0.72916666666666663</v>
      </c>
      <c r="T98" s="113" t="s">
        <v>113</v>
      </c>
      <c r="U98" s="113"/>
      <c r="V98" s="192">
        <v>45</v>
      </c>
      <c r="W98" s="142" t="s">
        <v>528</v>
      </c>
      <c r="X98" s="196"/>
      <c r="Y98" s="145"/>
      <c r="Z98" s="145"/>
      <c r="AA98" s="145"/>
      <c r="AB98" s="198"/>
      <c r="AC98" s="52">
        <v>39814</v>
      </c>
      <c r="AD98" s="147">
        <f>IF(YEAR(Tabla2[[#This Row],[FECHA DE NACIMIENTO DEL ALUMNO]])&lt;&gt;1900,YEAR(Tabla2[[#This Row],[FECHA DE NACIMIENTO DEL ALUMNO]]),"")</f>
        <v>2009</v>
      </c>
      <c r="AE98" s="20"/>
      <c r="AF98" s="41"/>
      <c r="AG98" s="20"/>
      <c r="AH98" s="17"/>
      <c r="AI98" s="20"/>
      <c r="AJ98" s="54"/>
      <c r="AK98" s="17"/>
      <c r="AL98" s="236">
        <f>IF(Tabla2[[#This Row],[RECIBO ACTUAL]]=0,0,_xlfn.XLOOKUP(CONCATENATE(Tabla2[[#This Row],[CLASE]],Tabla2[[#This Row],[DURACIÓN]]),DevelupeMode!$P$4:$P$10,DevelupeMode!$Q$4:$Q$10,0))</f>
        <v>0</v>
      </c>
      <c r="AM98" s="21"/>
      <c r="AN98" s="22"/>
      <c r="AO98">
        <f>_xlfn.XLOOKUP(Tabla2[[#This Row],[CURSO]],DevelupeMode!$T$4:$T$11,DevelupeMode!$U$4:$U$11,AO97+1)</f>
        <v>6</v>
      </c>
    </row>
    <row r="99" spans="2:42" ht="15" customHeight="1" x14ac:dyDescent="0.25">
      <c r="B99" s="216"/>
      <c r="C99" s="205">
        <f>IFERROR(IF(Tabla2[[#This Row],[Status]]="",0,IF(LEFT(Tabla2[[#This Row],[Status]],4)="Baja",C98,C98+1)),1)</f>
        <v>21</v>
      </c>
      <c r="D99" s="87" t="s">
        <v>19</v>
      </c>
      <c r="E99" s="88" t="str">
        <f>IF(AND(Tabla2[[#This Row],[RECIBO ACTUAL]]="",Tabla2[[#This Row],[Status]]="Activo"),"paguenmelaren","")</f>
        <v/>
      </c>
      <c r="F99" s="87"/>
      <c r="G99" s="182">
        <v>45847</v>
      </c>
      <c r="H99" s="204" t="str">
        <f>IFERROR(CONCATENATE("AGS015",MID(Tabla2[[#This Row],[ALUMNO]],1,2),MID(Tabla2[[#This Row],[ALUMNO]],FIND(" ",Tabla2[[#This Row],[ALUMNO]],1)+1,2)),"Aguas")</f>
        <v>AGS015ViRa</v>
      </c>
      <c r="I99" s="7" t="s">
        <v>521</v>
      </c>
      <c r="J99" s="104">
        <f ca="1">IFERROR(YEAR(TODAY())-Tabla2[[#This Row],[año]],"")</f>
        <v>10</v>
      </c>
      <c r="K99" s="177" t="s">
        <v>425</v>
      </c>
      <c r="L99" s="158" t="s">
        <v>544</v>
      </c>
      <c r="M99" s="158"/>
      <c r="N99" s="158"/>
      <c r="O99" s="158" t="s">
        <v>446</v>
      </c>
      <c r="P99" s="9"/>
      <c r="Q99" s="9"/>
      <c r="R99" s="266" t="s">
        <v>612</v>
      </c>
      <c r="S99" s="11">
        <v>0.78125</v>
      </c>
      <c r="T99" s="113" t="s">
        <v>113</v>
      </c>
      <c r="U99" s="113"/>
      <c r="V99" s="192">
        <v>45</v>
      </c>
      <c r="W99" s="142" t="s">
        <v>491</v>
      </c>
      <c r="X99" s="286"/>
      <c r="Y99" s="142"/>
      <c r="Z99" s="12"/>
      <c r="AA99" s="12"/>
      <c r="AB99" s="198"/>
      <c r="AC99" s="52">
        <v>42370</v>
      </c>
      <c r="AD99" s="147">
        <f>IF(YEAR(Tabla2[[#This Row],[FECHA DE NACIMIENTO DEL ALUMNO]])&lt;&gt;1900,YEAR(Tabla2[[#This Row],[FECHA DE NACIMIENTO DEL ALUMNO]]),"")</f>
        <v>2016</v>
      </c>
      <c r="AE99" s="14"/>
      <c r="AF99" s="15"/>
      <c r="AG99" s="14"/>
      <c r="AH99" s="71">
        <v>649</v>
      </c>
      <c r="AI99" s="73"/>
      <c r="AJ99" s="55"/>
      <c r="AK99" s="71">
        <v>683</v>
      </c>
      <c r="AL99" s="236">
        <f>IF(Tabla2[[#This Row],[RECIBO ACTUAL]]=0,0,_xlfn.XLOOKUP(CONCATENATE(Tabla2[[#This Row],[CLASE]],Tabla2[[#This Row],[DURACIÓN]]),DevelupeMode!$P$4:$P$10,DevelupeMode!$Q$4:$Q$10,0))</f>
        <v>1490</v>
      </c>
      <c r="AM99" s="21" t="s">
        <v>554</v>
      </c>
      <c r="AN99" s="22"/>
      <c r="AO99">
        <f>_xlfn.XLOOKUP(Tabla2[[#This Row],[CURSO]],DevelupeMode!$T$4:$T$11,DevelupeMode!$U$4:$U$11,AO98+1)</f>
        <v>8</v>
      </c>
      <c r="AP99" s="81"/>
    </row>
    <row r="100" spans="2:42" ht="15" hidden="1" customHeight="1" x14ac:dyDescent="0.25">
      <c r="B100" s="206"/>
      <c r="C100" s="205">
        <f>IFERROR(IF(Tabla2[[#This Row],[Status]]="",0,IF(LEFT(Tabla2[[#This Row],[Status]],4)="Baja",C99,C99+1)),1)</f>
        <v>21</v>
      </c>
      <c r="D100" s="87" t="s">
        <v>148</v>
      </c>
      <c r="E100" s="88" t="str">
        <f>IF(AND(Tabla2[[#This Row],[RECIBO ACTUAL]]="",Tabla2[[#This Row],[Status]]="Activo"),"paguenmelaren","")</f>
        <v/>
      </c>
      <c r="F100" s="87"/>
      <c r="G100" s="182">
        <v>45862</v>
      </c>
      <c r="H100" s="204" t="str">
        <f>IFERROR(CONCATENATE("AGS015",MID(Tabla2[[#This Row],[ALUMNO]],1,2),MID(Tabla2[[#This Row],[ALUMNO]],FIND(" ",Tabla2[[#This Row],[ALUMNO]],1)+1,2)),"Aguas")</f>
        <v>AGS015SaZu</v>
      </c>
      <c r="I100" s="7" t="s">
        <v>532</v>
      </c>
      <c r="J100" s="7">
        <f ca="1">IFERROR(YEAR(TODAY())-Tabla2[[#This Row],[año]],"")</f>
        <v>20</v>
      </c>
      <c r="K100" s="177" t="s">
        <v>425</v>
      </c>
      <c r="L100" s="9" t="s">
        <v>78</v>
      </c>
      <c r="M100" s="9"/>
      <c r="N100" s="9"/>
      <c r="O100" s="9" t="str">
        <f>IF(Tabla2[[#This Row],[MÉTODO]]="Yamaha","Royalty","")</f>
        <v/>
      </c>
      <c r="P100" s="9"/>
      <c r="Q100" s="9"/>
      <c r="R100" s="112" t="s">
        <v>96</v>
      </c>
      <c r="S100" s="11">
        <v>0.76041666666666663</v>
      </c>
      <c r="T100" s="113" t="s">
        <v>113</v>
      </c>
      <c r="U100" s="113"/>
      <c r="V100" s="112">
        <v>45</v>
      </c>
      <c r="W100" s="142" t="s">
        <v>533</v>
      </c>
      <c r="X100" s="50"/>
      <c r="Y100" s="145"/>
      <c r="Z100" s="145"/>
      <c r="AA100" s="145"/>
      <c r="AB100" s="51"/>
      <c r="AC100" s="52">
        <v>38718</v>
      </c>
      <c r="AD100" s="147">
        <f>IF(YEAR(Tabla2[[#This Row],[FECHA DE NACIMIENTO DEL ALUMNO]])&lt;&gt;1900,YEAR(Tabla2[[#This Row],[FECHA DE NACIMIENTO DEL ALUMNO]]),"")</f>
        <v>2006</v>
      </c>
      <c r="AE100" s="20"/>
      <c r="AF100" s="41"/>
      <c r="AG100" s="20"/>
      <c r="AH100" s="71"/>
      <c r="AI100" s="73"/>
      <c r="AJ100" s="54"/>
      <c r="AK100" s="71"/>
      <c r="AL100" s="236">
        <f>IF(Tabla2[[#This Row],[RECIBO ACTUAL]]=0,0,_xlfn.XLOOKUP(CONCATENATE(Tabla2[[#This Row],[CLASE]],Tabla2[[#This Row],[DURACIÓN]]),DevelupeMode!$P$4:$P$10,DevelupeMode!$Q$4:$Q$10,0))</f>
        <v>0</v>
      </c>
      <c r="AM100" s="21"/>
      <c r="AN100" s="181"/>
      <c r="AO100">
        <f>_xlfn.XLOOKUP(Tabla2[[#This Row],[CURSO]],DevelupeMode!$T$4:$T$11,DevelupeMode!$U$4:$U$11,AO99+1)</f>
        <v>6</v>
      </c>
    </row>
    <row r="101" spans="2:42" ht="15" hidden="1" customHeight="1" x14ac:dyDescent="0.25">
      <c r="B101" s="206"/>
      <c r="C101" s="205">
        <f>IFERROR(IF(Tabla2[[#This Row],[Status]]="",0,IF(LEFT(Tabla2[[#This Row],[Status]],4)="Baja",C100,C100+1)),1)</f>
        <v>21</v>
      </c>
      <c r="D101" s="188" t="s">
        <v>148</v>
      </c>
      <c r="E101" s="88" t="str">
        <f>IF(AND(Tabla2[[#This Row],[RECIBO ACTUAL]]="",Tabla2[[#This Row],[Status]]="Activo"),"paguenmelaren","")</f>
        <v/>
      </c>
      <c r="F101" s="87"/>
      <c r="G101" s="182"/>
      <c r="H101" s="204" t="str">
        <f>IFERROR(CONCATENATE("AGS015",MID(Tabla2[[#This Row],[ALUMNO]],1,2),MID(Tabla2[[#This Row],[ALUMNO]],FIND(" ",Tabla2[[#This Row],[ALUMNO]],1)+1,2)),"Aguas")</f>
        <v>AGS015MaMa</v>
      </c>
      <c r="I101" s="7" t="s">
        <v>546</v>
      </c>
      <c r="J101" s="104" t="str">
        <f ca="1">IFERROR(YEAR(TODAY())-Tabla2[[#This Row],[año]],"")</f>
        <v/>
      </c>
      <c r="K101" s="177" t="s">
        <v>425</v>
      </c>
      <c r="L101" s="9" t="s">
        <v>78</v>
      </c>
      <c r="M101" s="9"/>
      <c r="N101" s="9"/>
      <c r="O101" s="9" t="str">
        <f>IF(Tabla2[[#This Row],[MÉTODO]]="Yamaha","Royalty","")</f>
        <v/>
      </c>
      <c r="P101" s="9"/>
      <c r="Q101" s="9"/>
      <c r="R101" s="112"/>
      <c r="S101" s="11"/>
      <c r="T101" s="113"/>
      <c r="U101" s="113"/>
      <c r="V101" s="112"/>
      <c r="W101" s="142"/>
      <c r="X101" s="50"/>
      <c r="Y101" s="145"/>
      <c r="Z101" s="145"/>
      <c r="AA101" s="145"/>
      <c r="AB101" s="51"/>
      <c r="AC101" s="52"/>
      <c r="AD101" s="147" t="str">
        <f>IF(YEAR(Tabla2[[#This Row],[FECHA DE NACIMIENTO DEL ALUMNO]])&lt;&gt;1900,YEAR(Tabla2[[#This Row],[FECHA DE NACIMIENTO DEL ALUMNO]]),"")</f>
        <v/>
      </c>
      <c r="AE101" s="20"/>
      <c r="AF101" s="41"/>
      <c r="AG101" s="20"/>
      <c r="AH101" s="71"/>
      <c r="AI101" s="73"/>
      <c r="AJ101" s="54"/>
      <c r="AK101" s="71"/>
      <c r="AL101" s="236">
        <f>IF(Tabla2[[#This Row],[RECIBO ACTUAL]]=0,0,_xlfn.XLOOKUP(CONCATENATE(Tabla2[[#This Row],[CLASE]],Tabla2[[#This Row],[DURACIÓN]]),DevelupeMode!$P$4:$P$10,DevelupeMode!$Q$4:$Q$10,0))</f>
        <v>0</v>
      </c>
      <c r="AM101" s="232"/>
      <c r="AN101" s="181"/>
      <c r="AO101">
        <f>_xlfn.XLOOKUP(Tabla2[[#This Row],[CURSO]],DevelupeMode!$T$4:$T$11,DevelupeMode!$U$4:$U$11,AO100+1)</f>
        <v>6</v>
      </c>
    </row>
    <row r="102" spans="2:42" ht="15" hidden="1" customHeight="1" x14ac:dyDescent="0.25">
      <c r="B102" s="206"/>
      <c r="C102" s="205">
        <f>IFERROR(IF(Tabla2[[#This Row],[Status]]="",0,IF(LEFT(Tabla2[[#This Row],[Status]],4)="Baja",C101,C101+1)),1)</f>
        <v>21</v>
      </c>
      <c r="D102" s="188" t="s">
        <v>148</v>
      </c>
      <c r="E102" s="88" t="str">
        <f>IF(AND(Tabla2[[#This Row],[RECIBO ACTUAL]]="",Tabla2[[#This Row],[Status]]="Activo"),"paguenmelaren","")</f>
        <v/>
      </c>
      <c r="F102" s="87"/>
      <c r="G102" s="182"/>
      <c r="H102" s="204" t="str">
        <f>IFERROR(CONCATENATE("AGS015",MID(Tabla2[[#This Row],[ALUMNO]],1,2),MID(Tabla2[[#This Row],[ALUMNO]],FIND(" ",Tabla2[[#This Row],[ALUMNO]],1)+1,2)),"Aguas")</f>
        <v>AGS015AnSo</v>
      </c>
      <c r="I102" s="7" t="s">
        <v>547</v>
      </c>
      <c r="J102" s="104" t="str">
        <f ca="1">IFERROR(YEAR(TODAY())-Tabla2[[#This Row],[año]],"")</f>
        <v/>
      </c>
      <c r="K102" s="177" t="s">
        <v>425</v>
      </c>
      <c r="L102" s="9" t="s">
        <v>78</v>
      </c>
      <c r="M102" s="9"/>
      <c r="N102" s="9"/>
      <c r="O102" s="9" t="str">
        <f>IF(Tabla2[[#This Row],[MÉTODO]]="Yamaha","Royalty","")</f>
        <v/>
      </c>
      <c r="P102" s="9"/>
      <c r="Q102" s="9"/>
      <c r="R102" s="112"/>
      <c r="S102" s="11"/>
      <c r="T102" s="113"/>
      <c r="U102" s="113"/>
      <c r="V102" s="112"/>
      <c r="W102" s="142"/>
      <c r="X102" s="50"/>
      <c r="Y102" s="145"/>
      <c r="Z102" s="145"/>
      <c r="AA102" s="145"/>
      <c r="AB102" s="51"/>
      <c r="AC102" s="52"/>
      <c r="AD102" s="147" t="str">
        <f>IF(YEAR(Tabla2[[#This Row],[FECHA DE NACIMIENTO DEL ALUMNO]])&lt;&gt;1900,YEAR(Tabla2[[#This Row],[FECHA DE NACIMIENTO DEL ALUMNO]]),"")</f>
        <v/>
      </c>
      <c r="AE102" s="20"/>
      <c r="AF102" s="41"/>
      <c r="AG102" s="20"/>
      <c r="AH102" s="71"/>
      <c r="AI102" s="73"/>
      <c r="AJ102" s="54"/>
      <c r="AK102" s="71"/>
      <c r="AL102" s="236">
        <f>IF(Tabla2[[#This Row],[RECIBO ACTUAL]]=0,0,_xlfn.XLOOKUP(CONCATENATE(Tabla2[[#This Row],[CLASE]],Tabla2[[#This Row],[DURACIÓN]]),DevelupeMode!$P$4:$P$10,DevelupeMode!$Q$4:$Q$10,0))</f>
        <v>0</v>
      </c>
      <c r="AM102" s="232"/>
      <c r="AN102" s="181"/>
      <c r="AO102">
        <f>_xlfn.XLOOKUP(Tabla2[[#This Row],[CURSO]],DevelupeMode!$T$4:$T$11,DevelupeMode!$U$4:$U$11,AO101+1)</f>
        <v>6</v>
      </c>
    </row>
    <row r="103" spans="2:42" ht="15" hidden="1" customHeight="1" x14ac:dyDescent="0.25">
      <c r="B103" s="206"/>
      <c r="C103" s="205">
        <f>IFERROR(IF(Tabla2[[#This Row],[Status]]="",0,IF(LEFT(Tabla2[[#This Row],[Status]],4)="Baja",C102,C102+1)),1)</f>
        <v>21</v>
      </c>
      <c r="D103" s="188" t="s">
        <v>148</v>
      </c>
      <c r="E103" s="88" t="str">
        <f>IF(AND(Tabla2[[#This Row],[RECIBO ACTUAL]]="",Tabla2[[#This Row],[Status]]="Activo"),"paguenmelaren","")</f>
        <v/>
      </c>
      <c r="F103" s="87"/>
      <c r="G103" s="182">
        <v>45962</v>
      </c>
      <c r="H103" s="204" t="str">
        <f>IFERROR(CONCATENATE("AGS015",MID(Tabla2[[#This Row],[ALUMNO]],1,2),MID(Tabla2[[#This Row],[ALUMNO]],FIND(" ",Tabla2[[#This Row],[ALUMNO]],1)+1,2)),"Aguas")</f>
        <v>AGS015AnLu</v>
      </c>
      <c r="I103" s="7" t="s">
        <v>548</v>
      </c>
      <c r="J103" s="104" t="str">
        <f ca="1">IFERROR(YEAR(TODAY())-Tabla2[[#This Row],[año]],"")</f>
        <v/>
      </c>
      <c r="K103" s="177" t="s">
        <v>425</v>
      </c>
      <c r="L103" s="9" t="s">
        <v>78</v>
      </c>
      <c r="M103" s="9"/>
      <c r="N103" s="9"/>
      <c r="O103" s="9" t="str">
        <f>IF(Tabla2[[#This Row],[MÉTODO]]="Yamaha","Royalty","")</f>
        <v/>
      </c>
      <c r="P103" s="9"/>
      <c r="Q103" s="9"/>
      <c r="R103" s="112"/>
      <c r="S103" s="11"/>
      <c r="T103" s="113"/>
      <c r="U103" s="113"/>
      <c r="V103" s="112"/>
      <c r="W103" s="142"/>
      <c r="X103" s="50"/>
      <c r="Y103" s="145"/>
      <c r="Z103" s="145"/>
      <c r="AA103" s="145"/>
      <c r="AB103" s="51"/>
      <c r="AC103" s="52"/>
      <c r="AD103" s="147" t="str">
        <f>IF(YEAR(Tabla2[[#This Row],[FECHA DE NACIMIENTO DEL ALUMNO]])&lt;&gt;1900,YEAR(Tabla2[[#This Row],[FECHA DE NACIMIENTO DEL ALUMNO]]),"")</f>
        <v/>
      </c>
      <c r="AE103" s="20"/>
      <c r="AF103" s="41"/>
      <c r="AG103" s="20"/>
      <c r="AH103" s="71"/>
      <c r="AI103" s="73"/>
      <c r="AJ103" s="54"/>
      <c r="AK103" s="71"/>
      <c r="AL103" s="236">
        <f>IF(Tabla2[[#This Row],[RECIBO ACTUAL]]=0,0,_xlfn.XLOOKUP(CONCATENATE(Tabla2[[#This Row],[CLASE]],Tabla2[[#This Row],[DURACIÓN]]),DevelupeMode!$P$4:$P$10,DevelupeMode!$Q$4:$Q$10,0))</f>
        <v>0</v>
      </c>
      <c r="AM103" s="232"/>
      <c r="AN103" s="181"/>
      <c r="AO103">
        <f>_xlfn.XLOOKUP(Tabla2[[#This Row],[CURSO]],DevelupeMode!$T$4:$T$11,DevelupeMode!$U$4:$U$11,AO102+1)</f>
        <v>6</v>
      </c>
    </row>
    <row r="104" spans="2:42" ht="15" hidden="1" customHeight="1" x14ac:dyDescent="0.25">
      <c r="B104" s="206"/>
      <c r="C104" s="205">
        <f>IFERROR(IF(Tabla2[[#This Row],[Status]]="",0,IF(LEFT(Tabla2[[#This Row],[Status]],4)="Baja",C103,C103+1)),1)</f>
        <v>21</v>
      </c>
      <c r="D104" s="88" t="s">
        <v>148</v>
      </c>
      <c r="E104" s="87" t="str">
        <f>IF(AND(Tabla2[[#This Row],[RECIBO ACTUAL]]="",Tabla2[[#This Row],[Status]]="Activo"),"paguenmelaren","")</f>
        <v/>
      </c>
      <c r="F104" s="87"/>
      <c r="G104" s="183">
        <v>45444</v>
      </c>
      <c r="H104" s="204" t="str">
        <f>IFERROR(CONCATENATE("AGS015",MID(Tabla2[[#This Row],[ALUMNO]],1,2),MID(Tabla2[[#This Row],[ALUMNO]],FIND(" ",Tabla2[[#This Row],[ALUMNO]],1)+1,2)),"Aguas")</f>
        <v>AGS015YePa</v>
      </c>
      <c r="I104" s="104" t="s">
        <v>251</v>
      </c>
      <c r="J104" s="7">
        <f ca="1">IFERROR(YEAR(TODAY())-Tabla2[[#This Row],[año]],"")</f>
        <v>18</v>
      </c>
      <c r="K104" s="77" t="s">
        <v>115</v>
      </c>
      <c r="L104" s="23" t="s">
        <v>352</v>
      </c>
      <c r="M104" s="23"/>
      <c r="N104" s="23"/>
      <c r="O104" s="23" t="str">
        <f>IF(Tabla2[[#This Row],[MÉTODO]]="Yamaha","Royalty","")</f>
        <v/>
      </c>
      <c r="P104" s="23"/>
      <c r="Q104" s="23"/>
      <c r="R104" s="113" t="s">
        <v>35</v>
      </c>
      <c r="S104" s="74">
        <v>0.54166666666666663</v>
      </c>
      <c r="T104" s="113" t="s">
        <v>113</v>
      </c>
      <c r="U104" s="113"/>
      <c r="V104" s="112">
        <v>30</v>
      </c>
      <c r="W104" s="144">
        <v>4491115552</v>
      </c>
      <c r="X104" s="50" t="s">
        <v>109</v>
      </c>
      <c r="Y104" s="146"/>
      <c r="Z104" s="146"/>
      <c r="AA104" s="146"/>
      <c r="AB104" s="51" t="s">
        <v>110</v>
      </c>
      <c r="AC104" s="52">
        <v>39542</v>
      </c>
      <c r="AD104" s="147">
        <f>IF(YEAR(Tabla2[[#This Row],[FECHA DE NACIMIENTO DEL ALUMNO]])&lt;&gt;1900,YEAR(Tabla2[[#This Row],[FECHA DE NACIMIENTO DEL ALUMNO]]),"")</f>
        <v>2008</v>
      </c>
      <c r="AE104" s="73">
        <v>300</v>
      </c>
      <c r="AF104" s="23" t="s">
        <v>107</v>
      </c>
      <c r="AG104" s="18">
        <v>300</v>
      </c>
      <c r="AH104" s="71"/>
      <c r="AI104" s="73"/>
      <c r="AJ104" s="23"/>
      <c r="AK104" s="71"/>
      <c r="AL104" s="236">
        <f>IF(Tabla2[[#This Row],[RECIBO ACTUAL]]=0,0,_xlfn.XLOOKUP(CONCATENATE(Tabla2[[#This Row],[CLASE]],Tabla2[[#This Row],[DURACIÓN]]),DevelupeMode!$P$4:$P$10,DevelupeMode!$Q$4:$Q$10,0))</f>
        <v>0</v>
      </c>
      <c r="AM104" s="32"/>
      <c r="AN104" s="190"/>
      <c r="AO104">
        <f>_xlfn.XLOOKUP(Tabla2[[#This Row],[CURSO]],DevelupeMode!$T$4:$T$11,DevelupeMode!$U$4:$U$11,AO103+1)</f>
        <v>7</v>
      </c>
    </row>
    <row r="105" spans="2:42" ht="15" hidden="1" customHeight="1" x14ac:dyDescent="0.25">
      <c r="B105" s="206"/>
      <c r="C105" s="205">
        <f>IFERROR(IF(Tabla2[[#This Row],[Status]]="",0,IF(LEFT(Tabla2[[#This Row],[Status]],4)="Baja",C104,C104+1)),1)</f>
        <v>21</v>
      </c>
      <c r="D105" s="87" t="s">
        <v>148</v>
      </c>
      <c r="E105" s="87" t="str">
        <f>IF(AND(Tabla2[[#This Row],[RECIBO ACTUAL]]="",Tabla2[[#This Row],[Status]]="Activo"),"paguenmelaren","")</f>
        <v/>
      </c>
      <c r="F105" s="87"/>
      <c r="G105" s="182">
        <v>45658</v>
      </c>
      <c r="H105" s="204" t="str">
        <f>IFERROR(CONCATENATE("AGS015",MID(Tabla2[[#This Row],[ALUMNO]],1,2),MID(Tabla2[[#This Row],[ALUMNO]],FIND(" ",Tabla2[[#This Row],[ALUMNO]],1)+1,2)),"Aguas")</f>
        <v>AGS015BeSa</v>
      </c>
      <c r="I105" s="7" t="s">
        <v>519</v>
      </c>
      <c r="J105" s="7">
        <f ca="1">IFERROR(YEAR(TODAY())-Tabla2[[#This Row],[año]],"")</f>
        <v>7</v>
      </c>
      <c r="K105" s="177" t="s">
        <v>425</v>
      </c>
      <c r="L105" s="158" t="s">
        <v>544</v>
      </c>
      <c r="M105" s="158"/>
      <c r="N105" s="158" t="s">
        <v>24</v>
      </c>
      <c r="O105" s="9" t="s">
        <v>426</v>
      </c>
      <c r="P105" s="9"/>
      <c r="Q105" s="9"/>
      <c r="R105" s="176" t="s">
        <v>96</v>
      </c>
      <c r="S105" s="11">
        <v>0.70833333333333337</v>
      </c>
      <c r="T105" s="113" t="s">
        <v>426</v>
      </c>
      <c r="U105" s="113"/>
      <c r="V105" s="176">
        <v>50</v>
      </c>
      <c r="W105" s="142">
        <v>4494383700</v>
      </c>
      <c r="X105" s="238"/>
      <c r="Y105" s="142"/>
      <c r="Z105" s="12"/>
      <c r="AA105" s="12"/>
      <c r="AB105" s="231"/>
      <c r="AC105" s="6">
        <v>43466</v>
      </c>
      <c r="AD105" s="147">
        <f>IF(YEAR(Tabla2[[#This Row],[FECHA DE NACIMIENTO DEL ALUMNO]])&lt;&gt;1900,YEAR(Tabla2[[#This Row],[FECHA DE NACIMIENTO DEL ALUMNO]]),"")</f>
        <v>2019</v>
      </c>
      <c r="AE105" s="14"/>
      <c r="AF105" s="15"/>
      <c r="AG105" s="14"/>
      <c r="AH105" s="17"/>
      <c r="AI105" s="20"/>
      <c r="AJ105" s="55"/>
      <c r="AK105" s="17"/>
      <c r="AL105" s="236">
        <f>IF(Tabla2[[#This Row],[RECIBO ACTUAL]]=0,0,_xlfn.XLOOKUP(CONCATENATE(Tabla2[[#This Row],[CLASE]],Tabla2[[#This Row],[DURACIÓN]]),DevelupeMode!$P$4:$P$10,DevelupeMode!$Q$4:$Q$10,0))</f>
        <v>0</v>
      </c>
      <c r="AM105" s="21"/>
      <c r="AN105" s="22"/>
      <c r="AO105">
        <f>_xlfn.XLOOKUP(Tabla2[[#This Row],[CURSO]],DevelupeMode!$T$4:$T$11,DevelupeMode!$U$4:$U$11,AO104+1)</f>
        <v>8</v>
      </c>
    </row>
    <row r="106" spans="2:42" ht="15" customHeight="1" x14ac:dyDescent="0.25">
      <c r="B106" s="216"/>
      <c r="C106" s="205">
        <f>IFERROR(IF(Tabla2[[#This Row],[Status]]="",0,IF(LEFT(Tabla2[[#This Row],[Status]],4)="Baja",C105,C105+1)),1)</f>
        <v>22</v>
      </c>
      <c r="D106" s="261" t="s">
        <v>19</v>
      </c>
      <c r="E106" s="88" t="str">
        <f>IF(AND(Tabla2[[#This Row],[RECIBO ACTUAL]]="",Tabla2[[#This Row],[Status]]="Activo"),"paguenmelaren","")</f>
        <v/>
      </c>
      <c r="F106" s="87"/>
      <c r="G106" s="262"/>
      <c r="H106" s="204" t="str">
        <f>IFERROR(CONCATENATE("AGS015",MID(Tabla2[[#This Row],[ALUMNO]],1,2),MID(Tabla2[[#This Row],[ALUMNO]],FIND(" ",Tabla2[[#This Row],[ALUMNO]],1)+1,2)),"Aguas")</f>
        <v>AGS015AlLo</v>
      </c>
      <c r="I106" s="263" t="s">
        <v>574</v>
      </c>
      <c r="J106" s="104">
        <f ca="1">IFERROR(YEAR(TODAY())-Tabla2[[#This Row],[año]],"")</f>
        <v>5</v>
      </c>
      <c r="K106" s="264" t="s">
        <v>425</v>
      </c>
      <c r="L106" s="9" t="s">
        <v>544</v>
      </c>
      <c r="M106" s="23"/>
      <c r="N106" s="23"/>
      <c r="O106" s="9" t="s">
        <v>426</v>
      </c>
      <c r="P106" s="9"/>
      <c r="Q106" s="9"/>
      <c r="R106" s="266" t="s">
        <v>610</v>
      </c>
      <c r="S106" s="276">
        <v>0.70833333333333337</v>
      </c>
      <c r="T106" s="113" t="s">
        <v>426</v>
      </c>
      <c r="U106" s="84"/>
      <c r="V106" s="266">
        <v>50</v>
      </c>
      <c r="W106" s="267" t="s">
        <v>575</v>
      </c>
      <c r="X106" s="50"/>
      <c r="Y106" s="84"/>
      <c r="Z106" s="84"/>
      <c r="AA106" s="84"/>
      <c r="AB106" s="51"/>
      <c r="AC106" s="268">
        <v>44197</v>
      </c>
      <c r="AD106" s="147">
        <f>IF(YEAR(Tabla2[[#This Row],[FECHA DE NACIMIENTO DEL ALUMNO]])&lt;&gt;1900,YEAR(Tabla2[[#This Row],[FECHA DE NACIMIENTO DEL ALUMNO]]),"")</f>
        <v>2021</v>
      </c>
      <c r="AE106" s="84"/>
      <c r="AF106" s="23"/>
      <c r="AG106" s="18"/>
      <c r="AH106" s="202">
        <v>623</v>
      </c>
      <c r="AI106" s="73"/>
      <c r="AJ106" s="23"/>
      <c r="AK106" s="202">
        <v>684</v>
      </c>
      <c r="AL106" s="236">
        <f>IF(Tabla2[[#This Row],[RECIBO ACTUAL]]=0,0,_xlfn.XLOOKUP(CONCATENATE(Tabla2[[#This Row],[CLASE]],Tabla2[[#This Row],[DURACIÓN]]),DevelupeMode!$P$4:$P$10,DevelupeMode!$Q$4:$Q$10,0))</f>
        <v>1100</v>
      </c>
      <c r="AM106" s="32" t="s">
        <v>630</v>
      </c>
      <c r="AN106" s="23"/>
      <c r="AO106">
        <f>_xlfn.XLOOKUP(Tabla2[[#This Row],[CURSO]],DevelupeMode!$T$4:$T$11,DevelupeMode!$U$4:$U$11,AO105+1)</f>
        <v>8</v>
      </c>
      <c r="AP106" s="81"/>
    </row>
    <row r="107" spans="2:42" ht="15" hidden="1" customHeight="1" x14ac:dyDescent="0.25">
      <c r="B107" s="206"/>
      <c r="C107" s="205">
        <f>IFERROR(IF(Tabla2[[#This Row],[Status]]="",0,IF(LEFT(Tabla2[[#This Row],[Status]],4)="Baja",C106,C106+1)),1)</f>
        <v>22</v>
      </c>
      <c r="D107" s="88" t="s">
        <v>148</v>
      </c>
      <c r="E107" s="87" t="str">
        <f>IF(AND(Tabla2[[#This Row],[RECIBO ACTUAL]]="",Tabla2[[#This Row],[Status]]="Activo"),"paguenmelaren","")</f>
        <v/>
      </c>
      <c r="F107" s="87"/>
      <c r="G107" s="182">
        <v>45650</v>
      </c>
      <c r="H107" s="204" t="str">
        <f>IFERROR(CONCATENATE("AGS015",MID(Tabla2[[#This Row],[ALUMNO]],1,2),MID(Tabla2[[#This Row],[ALUMNO]],FIND(" ",Tabla2[[#This Row],[ALUMNO]],1)+1,2)),"Aguas")</f>
        <v>AGS015JoEl</v>
      </c>
      <c r="I107" s="104" t="s">
        <v>422</v>
      </c>
      <c r="J107" s="7" t="str">
        <f ca="1">IFERROR(YEAR(TODAY())-Tabla2[[#This Row],[año]],"")</f>
        <v/>
      </c>
      <c r="K107" s="77" t="s">
        <v>463</v>
      </c>
      <c r="L107" s="23" t="s">
        <v>352</v>
      </c>
      <c r="M107" s="23"/>
      <c r="N107" s="23"/>
      <c r="O107" s="23"/>
      <c r="P107" s="23"/>
      <c r="Q107" s="23"/>
      <c r="R107" s="113" t="s">
        <v>58</v>
      </c>
      <c r="S107" s="70">
        <v>0.66666666666666663</v>
      </c>
      <c r="T107" s="113" t="s">
        <v>113</v>
      </c>
      <c r="U107" s="113" t="s">
        <v>389</v>
      </c>
      <c r="V107" s="112">
        <v>45</v>
      </c>
      <c r="W107" s="144"/>
      <c r="X107" s="50" t="s">
        <v>424</v>
      </c>
      <c r="Y107" s="144" t="s">
        <v>423</v>
      </c>
      <c r="Z107" s="146"/>
      <c r="AA107" s="146"/>
      <c r="AB107" s="51"/>
      <c r="AC107" s="52"/>
      <c r="AD107" s="147" t="str">
        <f>IF(YEAR(Tabla2[[#This Row],[FECHA DE NACIMIENTO DEL ALUMNO]])&lt;&gt;1900,YEAR(Tabla2[[#This Row],[FECHA DE NACIMIENTO DEL ALUMNO]]),"")</f>
        <v/>
      </c>
      <c r="AE107" s="73">
        <v>600</v>
      </c>
      <c r="AF107" s="23"/>
      <c r="AG107" s="155">
        <v>799</v>
      </c>
      <c r="AH107" s="71"/>
      <c r="AI107" s="73"/>
      <c r="AJ107" s="23"/>
      <c r="AK107" s="71"/>
      <c r="AL107" s="236">
        <f>IF(Tabla2[[#This Row],[RECIBO ACTUAL]]=0,0,_xlfn.XLOOKUP(CONCATENATE(Tabla2[[#This Row],[CLASE]],Tabla2[[#This Row],[DURACIÓN]]),DevelupeMode!$P$4:$P$10,DevelupeMode!$Q$4:$Q$10,0))</f>
        <v>0</v>
      </c>
      <c r="AM107" s="32"/>
      <c r="AN107" s="23"/>
      <c r="AO107">
        <f>_xlfn.XLOOKUP(Tabla2[[#This Row],[CURSO]],DevelupeMode!$T$4:$T$11,DevelupeMode!$U$4:$U$11,AO106+1)</f>
        <v>9</v>
      </c>
    </row>
    <row r="108" spans="2:42" ht="15" customHeight="1" x14ac:dyDescent="0.25">
      <c r="B108" s="206"/>
      <c r="C108" s="205">
        <f>IFERROR(IF(Tabla2[[#This Row],[Status]]="",0,IF(LEFT(Tabla2[[#This Row],[Status]],4)="Baja",C107,C107+1)),1)</f>
        <v>23</v>
      </c>
      <c r="D108" s="87" t="s">
        <v>19</v>
      </c>
      <c r="E108" s="87" t="str">
        <f>IF(AND(Tabla2[[#This Row],[RECIBO ACTUAL]]="",Tabla2[[#This Row],[Status]]="Activo"),"paguenmelaren","")</f>
        <v/>
      </c>
      <c r="F108" s="87"/>
      <c r="G108" s="183">
        <v>45528</v>
      </c>
      <c r="H108" s="204" t="str">
        <f>IFERROR(CONCATENATE("AGS015",MID(Tabla2[[#This Row],[ALUMNO]],1,2),MID(Tabla2[[#This Row],[ALUMNO]],FIND(" ",Tabla2[[#This Row],[ALUMNO]],1)+1,2)),"Aguas")</f>
        <v>AGS015SuCu</v>
      </c>
      <c r="I108" s="7" t="s">
        <v>173</v>
      </c>
      <c r="J108" s="7">
        <f ca="1">IFERROR(YEAR(TODAY())-Tabla2[[#This Row],[año]],"")</f>
        <v>10</v>
      </c>
      <c r="K108" s="254" t="s">
        <v>83</v>
      </c>
      <c r="L108" s="9" t="s">
        <v>78</v>
      </c>
      <c r="M108" s="9"/>
      <c r="N108" s="9" t="s">
        <v>446</v>
      </c>
      <c r="O108" s="9"/>
      <c r="P108" s="9"/>
      <c r="Q108" s="9"/>
      <c r="R108" s="113" t="s">
        <v>611</v>
      </c>
      <c r="S108" s="11">
        <v>0.70833333333333337</v>
      </c>
      <c r="T108" s="113" t="s">
        <v>334</v>
      </c>
      <c r="U108" s="113"/>
      <c r="V108" s="113">
        <v>50</v>
      </c>
      <c r="W108" s="142"/>
      <c r="X108" s="28" t="s">
        <v>331</v>
      </c>
      <c r="Y108" s="142" t="s">
        <v>333</v>
      </c>
      <c r="Z108" s="142" t="s">
        <v>330</v>
      </c>
      <c r="AA108" s="142"/>
      <c r="AB108" s="30" t="s">
        <v>174</v>
      </c>
      <c r="AC108" s="6">
        <v>42370</v>
      </c>
      <c r="AD108" s="147">
        <f>IF(YEAR(Tabla2[[#This Row],[FECHA DE NACIMIENTO DEL ALUMNO]])&lt;&gt;1900,YEAR(Tabla2[[#This Row],[FECHA DE NACIMIENTO DEL ALUMNO]]),"")</f>
        <v>2016</v>
      </c>
      <c r="AE108" s="14">
        <v>600</v>
      </c>
      <c r="AF108" s="15"/>
      <c r="AG108" s="152"/>
      <c r="AH108" s="202">
        <v>633</v>
      </c>
      <c r="AI108" s="73"/>
      <c r="AJ108" s="19"/>
      <c r="AK108" s="202">
        <v>664</v>
      </c>
      <c r="AL108" s="236">
        <f>IF(Tabla2[[#This Row],[RECIBO ACTUAL]]=0,0,_xlfn.XLOOKUP(CONCATENATE(Tabla2[[#This Row],[CLASE]],Tabla2[[#This Row],[DURACIÓN]]),DevelupeMode!$P$4:$P$10,DevelupeMode!$Q$4:$Q$10,0))</f>
        <v>1100</v>
      </c>
      <c r="AM108" s="21" t="s">
        <v>413</v>
      </c>
      <c r="AN108" s="22"/>
      <c r="AO108">
        <f>_xlfn.XLOOKUP(Tabla2[[#This Row],[CURSO]],DevelupeMode!$T$4:$T$11,DevelupeMode!$U$4:$U$11,AO107+1)</f>
        <v>6</v>
      </c>
    </row>
    <row r="109" spans="2:42" ht="15" customHeight="1" x14ac:dyDescent="0.25">
      <c r="B109" s="206"/>
      <c r="C109" s="205">
        <f>IFERROR(IF(Tabla2[[#This Row],[Status]]="",0,IF(LEFT(Tabla2[[#This Row],[Status]],4)="Baja",C108,C108+1)),1)</f>
        <v>24</v>
      </c>
      <c r="D109" s="87" t="s">
        <v>19</v>
      </c>
      <c r="E109" s="88" t="str">
        <f>IF(AND(Tabla2[[#This Row],[RECIBO ACTUAL]]="",Tabla2[[#This Row],[Status]]="Activo"),"paguenmelaren","")</f>
        <v/>
      </c>
      <c r="F109" s="87"/>
      <c r="G109" s="182">
        <v>45703</v>
      </c>
      <c r="H109" s="204" t="str">
        <f>IFERROR(CONCATENATE("AGS015",MID(Tabla2[[#This Row],[ALUMNO]],1,2),MID(Tabla2[[#This Row],[ALUMNO]],FIND(" ",Tabla2[[#This Row],[ALUMNO]],1)+1,2)),"Aguas")</f>
        <v>AGS015Made</v>
      </c>
      <c r="I109" s="7" t="s">
        <v>522</v>
      </c>
      <c r="J109" s="7" t="str">
        <f ca="1">IFERROR(YEAR(TODAY())-Tabla2[[#This Row],[año]],"")</f>
        <v/>
      </c>
      <c r="K109" s="254" t="s">
        <v>83</v>
      </c>
      <c r="L109" s="9" t="s">
        <v>78</v>
      </c>
      <c r="M109" s="9"/>
      <c r="N109" s="9"/>
      <c r="O109" s="9" t="str">
        <f>IF(Tabla2[[#This Row],[MÉTODO]]="Yamaha","Royalty","")</f>
        <v/>
      </c>
      <c r="P109" s="9"/>
      <c r="Q109" s="9"/>
      <c r="R109" s="113" t="s">
        <v>609</v>
      </c>
      <c r="S109" s="11">
        <v>0.44791666666666669</v>
      </c>
      <c r="T109" s="113" t="s">
        <v>113</v>
      </c>
      <c r="U109" s="113"/>
      <c r="V109" s="112">
        <v>45</v>
      </c>
      <c r="W109" s="142" t="s">
        <v>523</v>
      </c>
      <c r="X109" s="237"/>
      <c r="Y109" s="142"/>
      <c r="Z109" s="142"/>
      <c r="AA109" s="142"/>
      <c r="AB109" s="51"/>
      <c r="AC109" s="233"/>
      <c r="AD109" s="147" t="str">
        <f>IF(YEAR(Tabla2[[#This Row],[FECHA DE NACIMIENTO DEL ALUMNO]])&lt;&gt;1900,YEAR(Tabla2[[#This Row],[FECHA DE NACIMIENTO DEL ALUMNO]]),"")</f>
        <v/>
      </c>
      <c r="AE109" s="14"/>
      <c r="AF109" s="15"/>
      <c r="AG109" s="14"/>
      <c r="AH109" s="202">
        <v>652</v>
      </c>
      <c r="AI109" s="73"/>
      <c r="AJ109" s="19"/>
      <c r="AK109" s="202">
        <v>674</v>
      </c>
      <c r="AL109" s="236">
        <f>IF(Tabla2[[#This Row],[RECIBO ACTUAL]]=0,0,_xlfn.XLOOKUP(CONCATENATE(Tabla2[[#This Row],[CLASE]],Tabla2[[#This Row],[DURACIÓN]]),DevelupeMode!$P$4:$P$10,DevelupeMode!$Q$4:$Q$10,0))</f>
        <v>1490</v>
      </c>
      <c r="AM109" s="21" t="s">
        <v>554</v>
      </c>
      <c r="AN109" s="22"/>
      <c r="AO109">
        <f>_xlfn.XLOOKUP(Tabla2[[#This Row],[CURSO]],DevelupeMode!$T$4:$T$11,DevelupeMode!$U$4:$U$11,AO108+1)</f>
        <v>6</v>
      </c>
    </row>
    <row r="110" spans="2:42" ht="15" customHeight="1" x14ac:dyDescent="0.25">
      <c r="B110" s="206"/>
      <c r="C110" s="205">
        <f>IFERROR(IF(Tabla2[[#This Row],[Status]]="",0,IF(LEFT(Tabla2[[#This Row],[Status]],4)="Baja",C109,C109+1)),1)</f>
        <v>25</v>
      </c>
      <c r="D110" s="87" t="s">
        <v>19</v>
      </c>
      <c r="E110" s="87" t="str">
        <f>IF(AND(Tabla2[[#This Row],[RECIBO ACTUAL]]="",Tabla2[[#This Row],[Status]]="Activo"),"paguenmelaren","")</f>
        <v/>
      </c>
      <c r="F110" s="87"/>
      <c r="G110" s="182">
        <v>45229</v>
      </c>
      <c r="H110" s="204" t="str">
        <f>IFERROR(CONCATENATE("AGS015",MID(Tabla2[[#This Row],[ALUMNO]],1,2),MID(Tabla2[[#This Row],[ALUMNO]],FIND(" ",Tabla2[[#This Row],[ALUMNO]],1)+1,2)),"Aguas")</f>
        <v>AGS015ErDa</v>
      </c>
      <c r="I110" s="7" t="s">
        <v>247</v>
      </c>
      <c r="J110" s="7">
        <f ca="1">IFERROR(YEAR(TODAY())-Tabla2[[#This Row],[año]],"")</f>
        <v>13</v>
      </c>
      <c r="K110" s="254" t="s">
        <v>83</v>
      </c>
      <c r="L110" s="9" t="s">
        <v>78</v>
      </c>
      <c r="M110" s="9">
        <v>8</v>
      </c>
      <c r="N110" s="24" t="s">
        <v>24</v>
      </c>
      <c r="O110" s="9" t="s">
        <v>450</v>
      </c>
      <c r="P110" s="22">
        <v>45752</v>
      </c>
      <c r="Q110" s="9"/>
      <c r="R110" s="113" t="s">
        <v>609</v>
      </c>
      <c r="S110" s="11">
        <v>0.70833333333333337</v>
      </c>
      <c r="T110" s="113" t="s">
        <v>113</v>
      </c>
      <c r="U110" s="113" t="s">
        <v>390</v>
      </c>
      <c r="V110" s="113">
        <v>45</v>
      </c>
      <c r="W110" s="142">
        <v>4494616699</v>
      </c>
      <c r="X110" s="28" t="s">
        <v>84</v>
      </c>
      <c r="Y110" s="142">
        <v>4492228835</v>
      </c>
      <c r="Z110" s="142"/>
      <c r="AA110" s="142"/>
      <c r="AB110" s="30" t="s">
        <v>85</v>
      </c>
      <c r="AC110" s="6">
        <v>41439</v>
      </c>
      <c r="AD110" s="147">
        <f>IF(YEAR(Tabla2[[#This Row],[FECHA DE NACIMIENTO DEL ALUMNO]])&lt;&gt;1900,YEAR(Tabla2[[#This Row],[FECHA DE NACIMIENTO DEL ALUMNO]]),"")</f>
        <v>2013</v>
      </c>
      <c r="AE110" s="14"/>
      <c r="AF110" s="15"/>
      <c r="AG110" s="156"/>
      <c r="AH110" s="71">
        <v>647</v>
      </c>
      <c r="AI110" s="73"/>
      <c r="AJ110" s="9"/>
      <c r="AK110" s="71">
        <v>666</v>
      </c>
      <c r="AL110" s="236">
        <f>IF(Tabla2[[#This Row],[RECIBO ACTUAL]]=0,0,_xlfn.XLOOKUP(CONCATENATE(Tabla2[[#This Row],[CLASE]],Tabla2[[#This Row],[DURACIÓN]]),DevelupeMode!$P$4:$P$10,DevelupeMode!$Q$4:$Q$10,0))</f>
        <v>1490</v>
      </c>
      <c r="AM110" s="9" t="s">
        <v>56</v>
      </c>
      <c r="AN110" s="22"/>
      <c r="AO110">
        <f>_xlfn.XLOOKUP(Tabla2[[#This Row],[CURSO]],DevelupeMode!$T$4:$T$11,DevelupeMode!$U$4:$U$11,AO109+1)</f>
        <v>6</v>
      </c>
    </row>
    <row r="111" spans="2:42" ht="15" hidden="1" customHeight="1" x14ac:dyDescent="0.25">
      <c r="B111" s="206"/>
      <c r="C111" s="205">
        <f>IFERROR(IF(Tabla2[[#This Row],[Status]]="",0,IF(LEFT(Tabla2[[#This Row],[Status]],4)="Baja",C110,C110+1)),1)</f>
        <v>25</v>
      </c>
      <c r="D111" s="87" t="s">
        <v>148</v>
      </c>
      <c r="E111" s="87" t="str">
        <f>IF(AND(Tabla2[[#This Row],[RECIBO ACTUAL]]="",Tabla2[[#This Row],[Status]]="Activo"),"paguenmelaren","")</f>
        <v/>
      </c>
      <c r="F111" s="87"/>
      <c r="G111" s="182">
        <v>45662</v>
      </c>
      <c r="H111" s="204" t="str">
        <f>IFERROR(CONCATENATE("AGS015",MID(Tabla2[[#This Row],[ALUMNO]],1,2),MID(Tabla2[[#This Row],[ALUMNO]],FIND(" ",Tabla2[[#This Row],[ALUMNO]],1)+1,2)),"Aguas")</f>
        <v>AGS015RoAs</v>
      </c>
      <c r="I111" s="7" t="s">
        <v>452</v>
      </c>
      <c r="J111" s="7">
        <f ca="1">IFERROR(YEAR(TODAY())-Tabla2[[#This Row],[año]],"")</f>
        <v>7</v>
      </c>
      <c r="K111" s="177" t="s">
        <v>425</v>
      </c>
      <c r="L111" s="9" t="s">
        <v>544</v>
      </c>
      <c r="M111" s="9"/>
      <c r="N111" s="9" t="s">
        <v>24</v>
      </c>
      <c r="O111" s="9" t="s">
        <v>426</v>
      </c>
      <c r="P111" s="9"/>
      <c r="Q111" s="9"/>
      <c r="R111" s="113" t="s">
        <v>96</v>
      </c>
      <c r="S111" s="11">
        <v>0.70833333333333337</v>
      </c>
      <c r="T111" s="113" t="s">
        <v>426</v>
      </c>
      <c r="U111" s="113"/>
      <c r="V111" s="113">
        <v>50</v>
      </c>
      <c r="W111" s="142"/>
      <c r="X111" s="12" t="s">
        <v>454</v>
      </c>
      <c r="Y111" s="142" t="s">
        <v>453</v>
      </c>
      <c r="Z111" s="12"/>
      <c r="AA111" s="12"/>
      <c r="AB111" s="28"/>
      <c r="AC111" s="6">
        <v>43466</v>
      </c>
      <c r="AD111" s="147">
        <f>IF(YEAR(Tabla2[[#This Row],[FECHA DE NACIMIENTO DEL ALUMNO]])&lt;&gt;1900,YEAR(Tabla2[[#This Row],[FECHA DE NACIMIENTO DEL ALUMNO]]),"")</f>
        <v>2019</v>
      </c>
      <c r="AE111" s="14"/>
      <c r="AF111" s="15"/>
      <c r="AG111" s="14"/>
      <c r="AH111" s="17"/>
      <c r="AI111" s="20"/>
      <c r="AJ111" s="55"/>
      <c r="AK111" s="17"/>
      <c r="AL111" s="236">
        <f>IF(Tabla2[[#This Row],[RECIBO ACTUAL]]=0,0,_xlfn.XLOOKUP(CONCATENATE(Tabla2[[#This Row],[CLASE]],Tabla2[[#This Row],[DURACIÓN]]),DevelupeMode!$P$4:$P$10,DevelupeMode!$Q$4:$Q$10,0))</f>
        <v>0</v>
      </c>
      <c r="AM111" s="21"/>
      <c r="AN111" s="22"/>
      <c r="AO111">
        <f>_xlfn.XLOOKUP(Tabla2[[#This Row],[CURSO]],DevelupeMode!$T$4:$T$11,DevelupeMode!$U$4:$U$11,AO110+1)</f>
        <v>8</v>
      </c>
    </row>
    <row r="112" spans="2:42" ht="15" hidden="1" customHeight="1" x14ac:dyDescent="0.25">
      <c r="B112" s="206"/>
      <c r="C112" s="205">
        <f>IFERROR(IF(Tabla2[[#This Row],[Status]]="",0,IF(LEFT(Tabla2[[#This Row],[Status]],4)="Baja",C111,C111+1)),1)</f>
        <v>25</v>
      </c>
      <c r="D112" s="87" t="s">
        <v>148</v>
      </c>
      <c r="E112" s="87" t="str">
        <f>IF(AND(Tabla2[[#This Row],[RECIBO ACTUAL]]="",Tabla2[[#This Row],[Status]]="Activo"),"paguenmelaren","")</f>
        <v/>
      </c>
      <c r="F112" s="87"/>
      <c r="G112" s="182">
        <v>45662</v>
      </c>
      <c r="H112" s="204" t="str">
        <f>IFERROR(CONCATENATE("AGS015",MID(Tabla2[[#This Row],[ALUMNO]],1,2),MID(Tabla2[[#This Row],[ALUMNO]],FIND(" ",Tabla2[[#This Row],[ALUMNO]],1)+1,2)),"Aguas")</f>
        <v>AGS015AlLó</v>
      </c>
      <c r="I112" s="7" t="s">
        <v>468</v>
      </c>
      <c r="J112" s="7">
        <f ca="1">IFERROR(YEAR(TODAY())-Tabla2[[#This Row],[año]],"")</f>
        <v>7</v>
      </c>
      <c r="K112" s="177" t="s">
        <v>425</v>
      </c>
      <c r="L112" s="9" t="s">
        <v>544</v>
      </c>
      <c r="M112" s="9"/>
      <c r="N112" s="9" t="s">
        <v>24</v>
      </c>
      <c r="O112" s="9" t="s">
        <v>426</v>
      </c>
      <c r="P112" s="9"/>
      <c r="Q112" s="9"/>
      <c r="R112" s="113" t="s">
        <v>96</v>
      </c>
      <c r="S112" s="11">
        <v>0.70833333333333337</v>
      </c>
      <c r="T112" s="113" t="s">
        <v>426</v>
      </c>
      <c r="U112" s="113"/>
      <c r="V112" s="113">
        <v>50</v>
      </c>
      <c r="W112" s="142"/>
      <c r="X112" s="12"/>
      <c r="Y112" s="142"/>
      <c r="Z112" s="12" t="s">
        <v>469</v>
      </c>
      <c r="AA112" s="12" t="s">
        <v>470</v>
      </c>
      <c r="AB112" s="28"/>
      <c r="AC112" s="6">
        <v>43466</v>
      </c>
      <c r="AD112" s="147">
        <f>IF(YEAR(Tabla2[[#This Row],[FECHA DE NACIMIENTO DEL ALUMNO]])&lt;&gt;1900,YEAR(Tabla2[[#This Row],[FECHA DE NACIMIENTO DEL ALUMNO]]),"")</f>
        <v>2019</v>
      </c>
      <c r="AE112" s="14"/>
      <c r="AF112" s="15"/>
      <c r="AG112" s="14"/>
      <c r="AH112" s="17"/>
      <c r="AI112" s="20"/>
      <c r="AJ112" s="55"/>
      <c r="AK112" s="17"/>
      <c r="AL112" s="236">
        <f>IF(Tabla2[[#This Row],[RECIBO ACTUAL]]=0,0,_xlfn.XLOOKUP(CONCATENATE(Tabla2[[#This Row],[CLASE]],Tabla2[[#This Row],[DURACIÓN]]),DevelupeMode!$P$4:$P$10,DevelupeMode!$Q$4:$Q$10,0))</f>
        <v>0</v>
      </c>
      <c r="AM112" s="21"/>
      <c r="AN112" s="22"/>
      <c r="AO112">
        <f>_xlfn.XLOOKUP(Tabla2[[#This Row],[CURSO]],DevelupeMode!$T$4:$T$11,DevelupeMode!$U$4:$U$11,AO111+1)</f>
        <v>8</v>
      </c>
    </row>
    <row r="113" spans="2:42" ht="15" hidden="1" customHeight="1" x14ac:dyDescent="0.25">
      <c r="B113" s="206"/>
      <c r="C113" s="205">
        <f>IFERROR(IF(Tabla2[[#This Row],[Status]]="",0,IF(LEFT(Tabla2[[#This Row],[Status]],4)="Baja",C112,C112+1)),1)</f>
        <v>25</v>
      </c>
      <c r="D113" s="88" t="s">
        <v>148</v>
      </c>
      <c r="E113" s="87" t="str">
        <f>IF(AND(Tabla2[[#This Row],[RECIBO ACTUAL]]="",Tabla2[[#This Row],[Status]]="Activo"),"paguenmelaren","")</f>
        <v/>
      </c>
      <c r="F113" s="87"/>
      <c r="G113" s="183">
        <v>45528</v>
      </c>
      <c r="H113" s="204" t="str">
        <f>IFERROR(CONCATENATE("AGS015",MID(Tabla2[[#This Row],[ALUMNO]],1,2),MID(Tabla2[[#This Row],[ALUMNO]],FIND(" ",Tabla2[[#This Row],[ALUMNO]],1)+1,2)),"Aguas")</f>
        <v>AGS015TaFe</v>
      </c>
      <c r="I113" s="104" t="s">
        <v>348</v>
      </c>
      <c r="J113" s="7">
        <f ca="1">IFERROR(YEAR(TODAY())-Tabla2[[#This Row],[año]],"")</f>
        <v>21</v>
      </c>
      <c r="K113" s="77" t="s">
        <v>463</v>
      </c>
      <c r="L113" s="23" t="s">
        <v>352</v>
      </c>
      <c r="M113" s="212"/>
      <c r="N113" s="212"/>
      <c r="O113" s="212"/>
      <c r="P113" s="23"/>
      <c r="Q113" s="23"/>
      <c r="R113" s="176" t="s">
        <v>58</v>
      </c>
      <c r="S113" s="70">
        <v>0.69791666666666663</v>
      </c>
      <c r="T113" s="113" t="s">
        <v>113</v>
      </c>
      <c r="U113" s="113" t="s">
        <v>390</v>
      </c>
      <c r="V113" s="192">
        <v>45</v>
      </c>
      <c r="W113" s="144">
        <v>4492863030</v>
      </c>
      <c r="X113" s="196"/>
      <c r="Y113" s="146"/>
      <c r="Z113" s="146"/>
      <c r="AA113" s="146"/>
      <c r="AB113" s="198"/>
      <c r="AC113" s="52">
        <v>38353</v>
      </c>
      <c r="AD113" s="147">
        <f>IF(YEAR(Tabla2[[#This Row],[FECHA DE NACIMIENTO DEL ALUMNO]])&lt;&gt;1900,YEAR(Tabla2[[#This Row],[FECHA DE NACIMIENTO DEL ALUMNO]]),"")</f>
        <v>2005</v>
      </c>
      <c r="AE113" s="73">
        <v>600</v>
      </c>
      <c r="AF113" s="23"/>
      <c r="AG113" s="155"/>
      <c r="AH113" s="71"/>
      <c r="AI113" s="73"/>
      <c r="AJ113" s="23"/>
      <c r="AK113" s="71"/>
      <c r="AL113" s="236">
        <f>IF(Tabla2[[#This Row],[RECIBO ACTUAL]]=0,0,_xlfn.XLOOKUP(CONCATENATE(Tabla2[[#This Row],[CLASE]],Tabla2[[#This Row],[DURACIÓN]]),DevelupeMode!$P$4:$P$10,DevelupeMode!$Q$4:$Q$10,0))</f>
        <v>0</v>
      </c>
      <c r="AM113" s="32"/>
      <c r="AN113" s="23"/>
      <c r="AO113">
        <f>_xlfn.XLOOKUP(Tabla2[[#This Row],[CURSO]],DevelupeMode!$T$4:$T$11,DevelupeMode!$U$4:$U$11,AO112+1)</f>
        <v>9</v>
      </c>
    </row>
    <row r="114" spans="2:42" ht="15" hidden="1" customHeight="1" x14ac:dyDescent="0.25">
      <c r="B114" s="206"/>
      <c r="C114" s="205">
        <f>IFERROR(IF(Tabla2[[#This Row],[Status]]="",0,IF(LEFT(Tabla2[[#This Row],[Status]],4)="Baja",C113,C113+1)),1)</f>
        <v>25</v>
      </c>
      <c r="D114" s="88" t="s">
        <v>148</v>
      </c>
      <c r="E114" s="87" t="str">
        <f>IF(AND(Tabla2[[#This Row],[RECIBO ACTUAL]]="",Tabla2[[#This Row],[Status]]="Activo"),"paguenmelaren","")</f>
        <v/>
      </c>
      <c r="F114" s="87"/>
      <c r="G114" s="184">
        <v>45444</v>
      </c>
      <c r="H114" s="204" t="str">
        <f>IFERROR(CONCATENATE("AGS015",MID(Tabla2[[#This Row],[ALUMNO]],1,2),MID(Tabla2[[#This Row],[ALUMNO]],FIND(" ",Tabla2[[#This Row],[ALUMNO]],1)+1,2)),"Aguas")</f>
        <v>AGS015SeAr</v>
      </c>
      <c r="I114" s="104" t="s">
        <v>167</v>
      </c>
      <c r="J114" s="7">
        <f ca="1">IFERROR(YEAR(TODAY())-Tabla2[[#This Row],[año]],"")</f>
        <v>31</v>
      </c>
      <c r="K114" s="77" t="s">
        <v>463</v>
      </c>
      <c r="L114" s="212" t="s">
        <v>352</v>
      </c>
      <c r="M114" s="212"/>
      <c r="N114" s="212"/>
      <c r="O114" s="212"/>
      <c r="P114" s="23"/>
      <c r="Q114" s="23"/>
      <c r="R114" s="176" t="s">
        <v>58</v>
      </c>
      <c r="S114" s="70">
        <v>0.79166666666666663</v>
      </c>
      <c r="T114" s="113" t="s">
        <v>113</v>
      </c>
      <c r="U114" s="113" t="s">
        <v>390</v>
      </c>
      <c r="V114" s="192">
        <v>45</v>
      </c>
      <c r="W114" s="142">
        <v>4759583229</v>
      </c>
      <c r="X114" s="196"/>
      <c r="Y114" s="144"/>
      <c r="Z114" s="144"/>
      <c r="AA114" s="144"/>
      <c r="AB114" s="198"/>
      <c r="AC114" s="52">
        <v>34904</v>
      </c>
      <c r="AD114" s="147">
        <f>IF(YEAR(Tabla2[[#This Row],[FECHA DE NACIMIENTO DEL ALUMNO]])&lt;&gt;1900,YEAR(Tabla2[[#This Row],[FECHA DE NACIMIENTO DEL ALUMNO]]),"")</f>
        <v>1995</v>
      </c>
      <c r="AE114" s="67">
        <v>600</v>
      </c>
      <c r="AF114" s="23" t="s">
        <v>107</v>
      </c>
      <c r="AG114" s="155">
        <v>300</v>
      </c>
      <c r="AH114" s="167"/>
      <c r="AI114" s="20"/>
      <c r="AJ114" s="23"/>
      <c r="AK114" s="167"/>
      <c r="AL114" s="236">
        <f>IF(Tabla2[[#This Row],[RECIBO ACTUAL]]=0,0,_xlfn.XLOOKUP(CONCATENATE(Tabla2[[#This Row],[CLASE]],Tabla2[[#This Row],[DURACIÓN]]),DevelupeMode!$P$4:$P$10,DevelupeMode!$Q$4:$Q$10,0))</f>
        <v>0</v>
      </c>
      <c r="AM114" s="32"/>
      <c r="AN114" s="23"/>
      <c r="AO114">
        <f>_xlfn.XLOOKUP(Tabla2[[#This Row],[CURSO]],DevelupeMode!$T$4:$T$11,DevelupeMode!$U$4:$U$11,AO113+1)</f>
        <v>10</v>
      </c>
    </row>
    <row r="115" spans="2:42" ht="15" hidden="1" customHeight="1" x14ac:dyDescent="0.25">
      <c r="B115" s="206"/>
      <c r="C115" s="205">
        <f>IFERROR(IF(Tabla2[[#This Row],[Status]]="",0,IF(LEFT(Tabla2[[#This Row],[Status]],4)="Baja",C114,C114+1)),1)</f>
        <v>25</v>
      </c>
      <c r="D115" s="87" t="s">
        <v>420</v>
      </c>
      <c r="E115" s="87" t="str">
        <f>IF(AND(Tabla2[[#This Row],[RECIBO ACTUAL]]="",Tabla2[[#This Row],[Status]]="Activo"),"paguenmelaren","")</f>
        <v/>
      </c>
      <c r="F115" s="87"/>
      <c r="G115" s="183">
        <v>45528</v>
      </c>
      <c r="H115" s="204" t="str">
        <f>IFERROR(CONCATENATE("AGS015",MID(Tabla2[[#This Row],[ALUMNO]],1,2),MID(Tabla2[[#This Row],[ALUMNO]],FIND(" ",Tabla2[[#This Row],[ALUMNO]],1)+1,2)),"Aguas")</f>
        <v>AGS015HeSa</v>
      </c>
      <c r="I115" s="7" t="s">
        <v>358</v>
      </c>
      <c r="J115" s="7">
        <f ca="1">IFERROR(YEAR(TODAY())-Tabla2[[#This Row],[año]],"")</f>
        <v>15</v>
      </c>
      <c r="K115" s="44" t="s">
        <v>145</v>
      </c>
      <c r="L115" s="158" t="s">
        <v>57</v>
      </c>
      <c r="M115" s="158"/>
      <c r="N115" s="158"/>
      <c r="O115" s="158" t="str">
        <f>IF(Tabla2[[#This Row],[MÉTODO]]="Yamaha","Royalty","")</f>
        <v/>
      </c>
      <c r="P115" s="9"/>
      <c r="Q115" s="9"/>
      <c r="R115" s="176" t="s">
        <v>58</v>
      </c>
      <c r="S115" s="11">
        <v>0.66666666666666663</v>
      </c>
      <c r="T115" s="113" t="s">
        <v>334</v>
      </c>
      <c r="U115" s="113"/>
      <c r="V115" s="176">
        <v>50</v>
      </c>
      <c r="W115" s="142"/>
      <c r="X115" s="244" t="s">
        <v>359</v>
      </c>
      <c r="Y115" s="145" t="s">
        <v>361</v>
      </c>
      <c r="Z115" s="145" t="s">
        <v>360</v>
      </c>
      <c r="AA115" s="145"/>
      <c r="AB115" s="208"/>
      <c r="AC115" s="6">
        <v>40544</v>
      </c>
      <c r="AD115" s="147">
        <f>IF(YEAR(Tabla2[[#This Row],[FECHA DE NACIMIENTO DEL ALUMNO]])&lt;&gt;1900,YEAR(Tabla2[[#This Row],[FECHA DE NACIMIENTO DEL ALUMNO]]),"")</f>
        <v>2011</v>
      </c>
      <c r="AE115" s="20">
        <v>600</v>
      </c>
      <c r="AF115" s="41"/>
      <c r="AG115" s="153">
        <v>535</v>
      </c>
      <c r="AH115" s="24"/>
      <c r="AI115" s="26"/>
      <c r="AJ115" s="54"/>
      <c r="AK115" s="24"/>
      <c r="AL115" s="236">
        <f>IF(Tabla2[[#This Row],[RECIBO ACTUAL]]=0,0,_xlfn.XLOOKUP(CONCATENATE(Tabla2[[#This Row],[CLASE]],Tabla2[[#This Row],[DURACIÓN]]),DevelupeMode!$P$4:$P$10,DevelupeMode!$Q$4:$Q$10,0))</f>
        <v>0</v>
      </c>
      <c r="AM115" s="9"/>
      <c r="AN115" s="22"/>
      <c r="AO115">
        <f>_xlfn.XLOOKUP(Tabla2[[#This Row],[CURSO]],DevelupeMode!$T$4:$T$11,DevelupeMode!$U$4:$U$11,AO114+1)</f>
        <v>10</v>
      </c>
    </row>
    <row r="116" spans="2:42" ht="15" customHeight="1" x14ac:dyDescent="0.25">
      <c r="B116" s="206"/>
      <c r="C116" s="205">
        <f>IFERROR(IF(Tabla2[[#This Row],[Status]]="",0,IF(LEFT(Tabla2[[#This Row],[Status]],4)="Baja",C115,C115+1)),1)</f>
        <v>26</v>
      </c>
      <c r="D116" s="87" t="s">
        <v>19</v>
      </c>
      <c r="E116" s="88" t="str">
        <f>IF(AND(Tabla2[[#This Row],[RECIBO ACTUAL]]="",Tabla2[[#This Row],[Status]]="Activo"),"paguenmelaren","")</f>
        <v/>
      </c>
      <c r="F116" s="87"/>
      <c r="G116" s="182">
        <v>46042</v>
      </c>
      <c r="H116" s="204" t="str">
        <f>IFERROR(CONCATENATE("AGS015",MID(Tabla2[[#This Row],[ALUMNO]],1,2),MID(Tabla2[[#This Row],[ALUMNO]],FIND(" ",Tabla2[[#This Row],[ALUMNO]],1)+1,2)),"Aguas")</f>
        <v>AGS015PaLe</v>
      </c>
      <c r="I116" s="7" t="s">
        <v>565</v>
      </c>
      <c r="J116" s="104">
        <f ca="1">IFERROR(YEAR(TODAY())-Tabla2[[#This Row],[año]],"")</f>
        <v>9</v>
      </c>
      <c r="K116" s="254" t="s">
        <v>83</v>
      </c>
      <c r="L116" s="9" t="s">
        <v>78</v>
      </c>
      <c r="M116" s="9"/>
      <c r="N116" s="9"/>
      <c r="O116" s="9" t="str">
        <f>IF(Tabla2[[#This Row],[MÉTODO]]="Yamaha","Royalty","")</f>
        <v/>
      </c>
      <c r="P116" s="9"/>
      <c r="Q116" s="9"/>
      <c r="R116" s="113" t="s">
        <v>609</v>
      </c>
      <c r="S116" s="11">
        <v>0.72916666666666663</v>
      </c>
      <c r="T116" s="113" t="s">
        <v>334</v>
      </c>
      <c r="U116" s="113"/>
      <c r="V116" s="112">
        <v>50</v>
      </c>
      <c r="W116" s="12" t="s">
        <v>567</v>
      </c>
      <c r="X116" s="237"/>
      <c r="Y116" s="12"/>
      <c r="Z116" s="12"/>
      <c r="AA116" s="12"/>
      <c r="AB116" s="51"/>
      <c r="AC116" s="52">
        <v>42736</v>
      </c>
      <c r="AD116" s="147">
        <f>IF(YEAR(Tabla2[[#This Row],[FECHA DE NACIMIENTO DEL ALUMNO]])&lt;&gt;1900,YEAR(Tabla2[[#This Row],[FECHA DE NACIMIENTO DEL ALUMNO]]),"")</f>
        <v>2017</v>
      </c>
      <c r="AE116" s="14"/>
      <c r="AF116" s="15"/>
      <c r="AG116" s="14"/>
      <c r="AH116" s="42">
        <v>650</v>
      </c>
      <c r="AI116" s="64"/>
      <c r="AJ116" s="55"/>
      <c r="AK116" s="42">
        <v>685</v>
      </c>
      <c r="AL116" s="236">
        <f>IF(Tabla2[[#This Row],[RECIBO ACTUAL]]=0,0,_xlfn.XLOOKUP(CONCATENATE(Tabla2[[#This Row],[CLASE]],Tabla2[[#This Row],[DURACIÓN]]),DevelupeMode!$P$4:$P$10,DevelupeMode!$Q$4:$Q$10,0))</f>
        <v>1100</v>
      </c>
      <c r="AM116" s="232" t="s">
        <v>554</v>
      </c>
      <c r="AN116" s="22"/>
      <c r="AO116">
        <f>_xlfn.XLOOKUP(Tabla2[[#This Row],[CURSO]],DevelupeMode!$T$4:$T$11,DevelupeMode!$U$4:$U$11,AO115+1)</f>
        <v>6</v>
      </c>
    </row>
    <row r="117" spans="2:42" ht="15" customHeight="1" x14ac:dyDescent="0.25">
      <c r="B117" s="206"/>
      <c r="C117" s="205">
        <f>IFERROR(IF(Tabla2[[#This Row],[Status]]="",0,IF(LEFT(Tabla2[[#This Row],[Status]],4)="Baja",C116,C116+1)),1)</f>
        <v>27</v>
      </c>
      <c r="D117" s="87" t="s">
        <v>19</v>
      </c>
      <c r="E117" s="88" t="str">
        <f>IF(AND(Tabla2[[#This Row],[RECIBO ACTUAL]]="",Tabla2[[#This Row],[Status]]="Activo"),"paguenmelaren","")</f>
        <v/>
      </c>
      <c r="F117" s="87"/>
      <c r="G117" s="182">
        <v>46042</v>
      </c>
      <c r="H117" s="204" t="str">
        <f>IFERROR(CONCATENATE("AGS015",MID(Tabla2[[#This Row],[ALUMNO]],1,2),MID(Tabla2[[#This Row],[ALUMNO]],FIND(" ",Tabla2[[#This Row],[ALUMNO]],1)+1,2)),"Aguas")</f>
        <v>AGS015BaLe</v>
      </c>
      <c r="I117" s="7" t="s">
        <v>566</v>
      </c>
      <c r="J117" s="104">
        <f ca="1">IFERROR(YEAR(TODAY())-Tabla2[[#This Row],[año]],"")</f>
        <v>8</v>
      </c>
      <c r="K117" s="254" t="s">
        <v>83</v>
      </c>
      <c r="L117" s="9" t="s">
        <v>78</v>
      </c>
      <c r="M117" s="9"/>
      <c r="N117" s="9"/>
      <c r="O117" s="9" t="str">
        <f>IF(Tabla2[[#This Row],[MÉTODO]]="Yamaha","Royalty","")</f>
        <v/>
      </c>
      <c r="P117" s="9"/>
      <c r="Q117" s="9"/>
      <c r="R117" s="113" t="s">
        <v>609</v>
      </c>
      <c r="S117" s="11">
        <v>0.72916666666666663</v>
      </c>
      <c r="T117" s="113" t="s">
        <v>334</v>
      </c>
      <c r="U117" s="113"/>
      <c r="V117" s="112">
        <v>50</v>
      </c>
      <c r="W117" s="12" t="s">
        <v>567</v>
      </c>
      <c r="X117" s="237"/>
      <c r="Y117" s="12"/>
      <c r="Z117" s="12"/>
      <c r="AA117" s="12"/>
      <c r="AB117" s="51"/>
      <c r="AC117" s="52">
        <v>43101</v>
      </c>
      <c r="AD117" s="147">
        <f>IF(YEAR(Tabla2[[#This Row],[FECHA DE NACIMIENTO DEL ALUMNO]])&lt;&gt;1900,YEAR(Tabla2[[#This Row],[FECHA DE NACIMIENTO DEL ALUMNO]]),"")</f>
        <v>2018</v>
      </c>
      <c r="AE117" s="14"/>
      <c r="AF117" s="15"/>
      <c r="AG117" s="14"/>
      <c r="AH117" s="42">
        <v>650</v>
      </c>
      <c r="AI117" s="64"/>
      <c r="AJ117" s="55"/>
      <c r="AK117" s="42">
        <v>685</v>
      </c>
      <c r="AL117" s="236">
        <f>IF(Tabla2[[#This Row],[RECIBO ACTUAL]]=0,0,_xlfn.XLOOKUP(CONCATENATE(Tabla2[[#This Row],[CLASE]],Tabla2[[#This Row],[DURACIÓN]]),DevelupeMode!$P$4:$P$10,DevelupeMode!$Q$4:$Q$10,0))</f>
        <v>1100</v>
      </c>
      <c r="AM117" s="232" t="s">
        <v>554</v>
      </c>
      <c r="AN117" s="22"/>
      <c r="AO117">
        <f>_xlfn.XLOOKUP(Tabla2[[#This Row],[CURSO]],DevelupeMode!$T$4:$T$11,DevelupeMode!$U$4:$U$11,AO116+1)</f>
        <v>6</v>
      </c>
    </row>
    <row r="118" spans="2:42" ht="15" hidden="1" customHeight="1" x14ac:dyDescent="0.25">
      <c r="B118" s="206"/>
      <c r="C118" s="205">
        <f>IFERROR(IF(Tabla2[[#This Row],[Status]]="",0,IF(LEFT(Tabla2[[#This Row],[Status]],4)="Baja",C117,C117+1)),1)</f>
        <v>27</v>
      </c>
      <c r="D118" s="87" t="s">
        <v>442</v>
      </c>
      <c r="E118" s="87" t="str">
        <f>IF(AND(Tabla2[[#This Row],[RECIBO ACTUAL]]="",Tabla2[[#This Row],[Status]]="Activo"),"paguenmelaren","")</f>
        <v/>
      </c>
      <c r="F118" s="87"/>
      <c r="G118" s="182">
        <v>45620</v>
      </c>
      <c r="H118" s="204" t="str">
        <f>IFERROR(CONCATENATE("AGS015",MID(Tabla2[[#This Row],[ALUMNO]],1,2),MID(Tabla2[[#This Row],[ALUMNO]],FIND(" ",Tabla2[[#This Row],[ALUMNO]],1)+1,2)),"Aguas")</f>
        <v>AGS015LeDa</v>
      </c>
      <c r="I118" s="7" t="s">
        <v>406</v>
      </c>
      <c r="J118" s="7">
        <f ca="1">IFERROR(YEAR(TODAY())-Tabla2[[#This Row],[año]],"")</f>
        <v>17</v>
      </c>
      <c r="K118" s="44" t="s">
        <v>145</v>
      </c>
      <c r="L118" s="9" t="s">
        <v>57</v>
      </c>
      <c r="M118" s="9"/>
      <c r="N118" s="9"/>
      <c r="O118" s="9" t="str">
        <f>IF(Tabla2[[#This Row],[MÉTODO]]="Yamaha","Royalty","")</f>
        <v/>
      </c>
      <c r="P118" s="9"/>
      <c r="Q118" s="9"/>
      <c r="R118" s="113" t="s">
        <v>58</v>
      </c>
      <c r="S118" s="11">
        <v>0.70833333333333337</v>
      </c>
      <c r="T118" s="113" t="s">
        <v>334</v>
      </c>
      <c r="U118" s="113"/>
      <c r="V118" s="113">
        <v>50</v>
      </c>
      <c r="W118" s="28" t="s">
        <v>407</v>
      </c>
      <c r="X118" s="28" t="s">
        <v>409</v>
      </c>
      <c r="Y118" s="45" t="s">
        <v>408</v>
      </c>
      <c r="Z118" s="45"/>
      <c r="AA118" s="45"/>
      <c r="AB118" s="46"/>
      <c r="AC118" s="47">
        <v>39814</v>
      </c>
      <c r="AD118" s="147">
        <f>IF(YEAR(Tabla2[[#This Row],[FECHA DE NACIMIENTO DEL ALUMNO]])&lt;&gt;1900,YEAR(Tabla2[[#This Row],[FECHA DE NACIMIENTO DEL ALUMNO]]),"")</f>
        <v>2009</v>
      </c>
      <c r="AE118" s="18"/>
      <c r="AF118" s="41"/>
      <c r="AG118" s="48"/>
      <c r="AH118" s="17"/>
      <c r="AI118" s="49"/>
      <c r="AJ118" s="23"/>
      <c r="AK118" s="17"/>
      <c r="AL118" s="236">
        <f>IF(Tabla2[[#This Row],[RECIBO ACTUAL]]=0,0,_xlfn.XLOOKUP(CONCATENATE(Tabla2[[#This Row],[CLASE]],Tabla2[[#This Row],[DURACIÓN]]),DevelupeMode!$P$4:$P$10,DevelupeMode!$Q$4:$Q$10,0))</f>
        <v>0</v>
      </c>
      <c r="AM118" s="9"/>
      <c r="AN118" s="22"/>
      <c r="AO118">
        <f>_xlfn.XLOOKUP(Tabla2[[#This Row],[CURSO]],DevelupeMode!$T$4:$T$11,DevelupeMode!$U$4:$U$11,AO117+1)</f>
        <v>10</v>
      </c>
    </row>
    <row r="119" spans="2:42" ht="15" hidden="1" customHeight="1" x14ac:dyDescent="0.25">
      <c r="B119" s="206"/>
      <c r="C119" s="205">
        <f>IFERROR(IF(Tabla2[[#This Row],[Status]]="",0,IF(LEFT(Tabla2[[#This Row],[Status]],4)="Baja",C118,C118+1)),1)</f>
        <v>27</v>
      </c>
      <c r="D119" s="87" t="s">
        <v>148</v>
      </c>
      <c r="E119" s="87" t="str">
        <f>IF(AND(Tabla2[[#This Row],[RECIBO ACTUAL]]="",Tabla2[[#This Row],[Status]]="Activo"),"paguenmelaren","")</f>
        <v/>
      </c>
      <c r="F119" s="87"/>
      <c r="G119" s="182"/>
      <c r="H119" s="204" t="str">
        <f>IFERROR(CONCATENATE("AGS015",MID(Tabla2[[#This Row],[ALUMNO]],1,2),MID(Tabla2[[#This Row],[ALUMNO]],FIND(" ",Tabla2[[#This Row],[ALUMNO]],1)+1,2)),"Aguas")</f>
        <v>AGS015RoAn</v>
      </c>
      <c r="I119" s="7" t="s">
        <v>158</v>
      </c>
      <c r="J119" s="7">
        <f ca="1">IFERROR(YEAR(TODAY())-Tabla2[[#This Row],[año]],"")</f>
        <v>50</v>
      </c>
      <c r="K119" s="44" t="s">
        <v>145</v>
      </c>
      <c r="L119" s="9" t="s">
        <v>57</v>
      </c>
      <c r="M119" s="9"/>
      <c r="N119" s="9"/>
      <c r="O119" s="9" t="str">
        <f>IF(Tabla2[[#This Row],[MÉTODO]]="Yamaha","Royalty","")</f>
        <v/>
      </c>
      <c r="P119" s="9"/>
      <c r="Q119" s="9"/>
      <c r="R119" s="113" t="s">
        <v>58</v>
      </c>
      <c r="S119" s="11">
        <v>0.70833333333333337</v>
      </c>
      <c r="T119" s="113" t="s">
        <v>334</v>
      </c>
      <c r="U119" s="113" t="s">
        <v>390</v>
      </c>
      <c r="V119" s="113">
        <v>50</v>
      </c>
      <c r="W119" s="142">
        <v>4499062051</v>
      </c>
      <c r="X119" s="29"/>
      <c r="Y119" s="145"/>
      <c r="Z119" s="145"/>
      <c r="AA119" s="145"/>
      <c r="AB119" s="30" t="s">
        <v>77</v>
      </c>
      <c r="AC119" s="6">
        <v>27932</v>
      </c>
      <c r="AD119" s="147">
        <f>IF(YEAR(Tabla2[[#This Row],[FECHA DE NACIMIENTO DEL ALUMNO]])&lt;&gt;1900,YEAR(Tabla2[[#This Row],[FECHA DE NACIMIENTO DEL ALUMNO]]),"")</f>
        <v>1976</v>
      </c>
      <c r="AE119" s="20"/>
      <c r="AF119" s="41"/>
      <c r="AG119" s="21"/>
      <c r="AH119" s="24"/>
      <c r="AI119" s="26"/>
      <c r="AJ119" s="54"/>
      <c r="AK119" s="24"/>
      <c r="AL119" s="236">
        <f>IF(Tabla2[[#This Row],[RECIBO ACTUAL]]=0,0,_xlfn.XLOOKUP(CONCATENATE(Tabla2[[#This Row],[CLASE]],Tabla2[[#This Row],[DURACIÓN]]),DevelupeMode!$P$4:$P$10,DevelupeMode!$Q$4:$Q$10,0))</f>
        <v>0</v>
      </c>
      <c r="AM119" s="9"/>
      <c r="AN119" s="22"/>
      <c r="AO119">
        <f>_xlfn.XLOOKUP(Tabla2[[#This Row],[CURSO]],DevelupeMode!$T$4:$T$11,DevelupeMode!$U$4:$U$11,AO118+1)</f>
        <v>10</v>
      </c>
    </row>
    <row r="120" spans="2:42" ht="15" hidden="1" customHeight="1" x14ac:dyDescent="0.25">
      <c r="B120" s="206"/>
      <c r="C120" s="205">
        <f>IFERROR(IF(Tabla2[[#This Row],[Status]]="",0,IF(LEFT(Tabla2[[#This Row],[Status]],4)="Baja",C119,C119+1)),1)</f>
        <v>27</v>
      </c>
      <c r="D120" s="87" t="s">
        <v>376</v>
      </c>
      <c r="E120" s="87" t="str">
        <f>IF(AND(Tabla2[[#This Row],[RECIBO ACTUAL]]="",Tabla2[[#This Row],[Status]]="Activo"),"paguenmelaren","")</f>
        <v/>
      </c>
      <c r="F120" s="87"/>
      <c r="G120" s="182">
        <v>45376</v>
      </c>
      <c r="H120" s="204" t="str">
        <f>IFERROR(CONCATENATE("AGS015",MID(Tabla2[[#This Row],[ALUMNO]],1,2),MID(Tabla2[[#This Row],[ALUMNO]],FIND(" ",Tabla2[[#This Row],[ALUMNO]],1)+1,2)),"Aguas")</f>
        <v>AGS015OsPr</v>
      </c>
      <c r="I120" s="7" t="s">
        <v>242</v>
      </c>
      <c r="J120" s="7">
        <f ca="1">IFERROR(YEAR(TODAY())-Tabla2[[#This Row],[año]],"")</f>
        <v>21</v>
      </c>
      <c r="K120" s="44" t="s">
        <v>145</v>
      </c>
      <c r="L120" s="24" t="s">
        <v>57</v>
      </c>
      <c r="M120" s="24"/>
      <c r="N120" s="24"/>
      <c r="O120" s="24" t="str">
        <f>IF(Tabla2[[#This Row],[MÉTODO]]="Yamaha","Royalty","")</f>
        <v/>
      </c>
      <c r="P120" s="24"/>
      <c r="Q120" s="24"/>
      <c r="R120" s="24" t="s">
        <v>58</v>
      </c>
      <c r="S120" s="58">
        <v>0.70833333333333337</v>
      </c>
      <c r="T120" s="24" t="s">
        <v>25</v>
      </c>
      <c r="U120" s="24"/>
      <c r="V120" s="24">
        <v>50</v>
      </c>
      <c r="W120" s="24"/>
      <c r="X120" s="62" t="s">
        <v>72</v>
      </c>
      <c r="Y120" s="62" t="s">
        <v>73</v>
      </c>
      <c r="Z120" s="62"/>
      <c r="AA120" s="62"/>
      <c r="AB120" s="60"/>
      <c r="AC120" s="43">
        <v>38710</v>
      </c>
      <c r="AD120" s="147">
        <f>IF(YEAR(Tabla2[[#This Row],[FECHA DE NACIMIENTO DEL ALUMNO]])&lt;&gt;1900,YEAR(Tabla2[[#This Row],[FECHA DE NACIMIENTO DEL ALUMNO]]),"")</f>
        <v>2005</v>
      </c>
      <c r="AE120" s="59"/>
      <c r="AF120" s="61"/>
      <c r="AG120" s="59"/>
      <c r="AH120" s="17"/>
      <c r="AI120" s="59"/>
      <c r="AJ120" s="24"/>
      <c r="AK120" s="17"/>
      <c r="AL120" s="236">
        <f>IF(Tabla2[[#This Row],[RECIBO ACTUAL]]=0,0,_xlfn.XLOOKUP(CONCATENATE(Tabla2[[#This Row],[CLASE]],Tabla2[[#This Row],[DURACIÓN]]),DevelupeMode!$P$4:$P$10,DevelupeMode!$Q$4:$Q$10,0))</f>
        <v>0</v>
      </c>
      <c r="AM120" s="24"/>
      <c r="AN120" s="43"/>
      <c r="AO120">
        <f>_xlfn.XLOOKUP(Tabla2[[#This Row],[CURSO]],DevelupeMode!$T$4:$T$11,DevelupeMode!$U$4:$U$11,AO119+1)</f>
        <v>10</v>
      </c>
    </row>
    <row r="121" spans="2:42" ht="15" hidden="1" customHeight="1" x14ac:dyDescent="0.25">
      <c r="B121" s="206"/>
      <c r="C121" s="205">
        <f>IFERROR(IF(Tabla2[[#This Row],[Status]]="",0,IF(LEFT(Tabla2[[#This Row],[Status]],4)="Baja",C120,C120+1)),1)</f>
        <v>27</v>
      </c>
      <c r="D121" s="87" t="s">
        <v>376</v>
      </c>
      <c r="E121" s="87" t="str">
        <f>IF(AND(Tabla2[[#This Row],[RECIBO ACTUAL]]="",Tabla2[[#This Row],[Status]]="Activo"),"paguenmelaren","")</f>
        <v/>
      </c>
      <c r="F121" s="87"/>
      <c r="G121" s="182">
        <v>45328</v>
      </c>
      <c r="H121" s="204" t="str">
        <f>IFERROR(CONCATENATE("AGS015",MID(Tabla2[[#This Row],[ALUMNO]],1,2),MID(Tabla2[[#This Row],[ALUMNO]],FIND(" ",Tabla2[[#This Row],[ALUMNO]],1)+1,2)),"Aguas")</f>
        <v>AGS015VíMa</v>
      </c>
      <c r="I121" s="7" t="s">
        <v>239</v>
      </c>
      <c r="J121" s="7">
        <f ca="1">IFERROR(YEAR(TODAY())-Tabla2[[#This Row],[año]],"")</f>
        <v>27</v>
      </c>
      <c r="K121" s="44" t="s">
        <v>145</v>
      </c>
      <c r="L121" s="9" t="s">
        <v>57</v>
      </c>
      <c r="M121" s="9"/>
      <c r="N121" s="9"/>
      <c r="O121" s="9" t="str">
        <f>IF(Tabla2[[#This Row],[MÉTODO]]="Yamaha","Royalty","")</f>
        <v/>
      </c>
      <c r="P121" s="9"/>
      <c r="Q121" s="9"/>
      <c r="R121" s="72" t="s">
        <v>58</v>
      </c>
      <c r="S121" s="11">
        <v>0.75</v>
      </c>
      <c r="T121" s="113" t="s">
        <v>59</v>
      </c>
      <c r="U121" s="113"/>
      <c r="V121" s="113">
        <v>50</v>
      </c>
      <c r="W121" s="28" t="s">
        <v>60</v>
      </c>
      <c r="X121" s="28" t="s">
        <v>61</v>
      </c>
      <c r="Y121" s="45" t="s">
        <v>62</v>
      </c>
      <c r="Z121" s="45"/>
      <c r="AA121" s="45"/>
      <c r="AB121" s="46" t="s">
        <v>63</v>
      </c>
      <c r="AC121" s="47">
        <v>36283</v>
      </c>
      <c r="AD121" s="147">
        <f>IF(YEAR(Tabla2[[#This Row],[FECHA DE NACIMIENTO DEL ALUMNO]])&lt;&gt;1900,YEAR(Tabla2[[#This Row],[FECHA DE NACIMIENTO DEL ALUMNO]]),"")</f>
        <v>1999</v>
      </c>
      <c r="AE121" s="18"/>
      <c r="AF121" s="41"/>
      <c r="AG121" s="48"/>
      <c r="AH121" s="17"/>
      <c r="AI121" s="49"/>
      <c r="AJ121" s="23"/>
      <c r="AK121" s="17"/>
      <c r="AL121" s="236">
        <f>IF(Tabla2[[#This Row],[RECIBO ACTUAL]]=0,0,_xlfn.XLOOKUP(CONCATENATE(Tabla2[[#This Row],[CLASE]],Tabla2[[#This Row],[DURACIÓN]]),DevelupeMode!$P$4:$P$10,DevelupeMode!$Q$4:$Q$10,0))</f>
        <v>0</v>
      </c>
      <c r="AM121" s="9"/>
      <c r="AN121" s="22"/>
      <c r="AO121">
        <f>_xlfn.XLOOKUP(Tabla2[[#This Row],[CURSO]],DevelupeMode!$T$4:$T$11,DevelupeMode!$U$4:$U$11,AO120+1)</f>
        <v>10</v>
      </c>
    </row>
    <row r="122" spans="2:42" ht="15" hidden="1" customHeight="1" x14ac:dyDescent="0.25">
      <c r="B122" s="206"/>
      <c r="C122" s="205">
        <f>IFERROR(IF(Tabla2[[#This Row],[Status]]="",0,IF(LEFT(Tabla2[[#This Row],[Status]],4)="Baja",C121,C121+1)),1)</f>
        <v>27</v>
      </c>
      <c r="D122" s="87" t="s">
        <v>376</v>
      </c>
      <c r="E122" s="87" t="str">
        <f>IF(AND(Tabla2[[#This Row],[RECIBO ACTUAL]]="",Tabla2[[#This Row],[Status]]="Activo"),"paguenmelaren","")</f>
        <v/>
      </c>
      <c r="F122" s="87"/>
      <c r="G122" s="182">
        <v>45337</v>
      </c>
      <c r="H122" s="204" t="str">
        <f>IFERROR(CONCATENATE("AGS015",MID(Tabla2[[#This Row],[ALUMNO]],1,2),MID(Tabla2[[#This Row],[ALUMNO]],FIND(" ",Tabla2[[#This Row],[ALUMNO]],1)+1,2)),"Aguas")</f>
        <v>AGS015CéAl</v>
      </c>
      <c r="I122" s="7" t="s">
        <v>241</v>
      </c>
      <c r="J122" s="7">
        <f ca="1">IFERROR(YEAR(TODAY())-Tabla2[[#This Row],[año]],"")</f>
        <v>17</v>
      </c>
      <c r="K122" s="44" t="s">
        <v>145</v>
      </c>
      <c r="L122" s="9" t="s">
        <v>57</v>
      </c>
      <c r="M122" s="9"/>
      <c r="N122" s="9"/>
      <c r="O122" s="9" t="str">
        <f>IF(Tabla2[[#This Row],[MÉTODO]]="Yamaha","Royalty","")</f>
        <v/>
      </c>
      <c r="P122" s="9"/>
      <c r="Q122" s="9"/>
      <c r="R122" s="72" t="s">
        <v>58</v>
      </c>
      <c r="S122" s="11">
        <v>0.75</v>
      </c>
      <c r="T122" s="113" t="s">
        <v>59</v>
      </c>
      <c r="U122" s="113"/>
      <c r="V122" s="113">
        <v>50</v>
      </c>
      <c r="W122" s="28"/>
      <c r="X122" s="29" t="s">
        <v>64</v>
      </c>
      <c r="Y122" s="29" t="s">
        <v>65</v>
      </c>
      <c r="Z122" s="29"/>
      <c r="AA122" s="29"/>
      <c r="AB122" s="30" t="s">
        <v>66</v>
      </c>
      <c r="AC122" s="6">
        <v>39934</v>
      </c>
      <c r="AD122" s="147">
        <f>IF(YEAR(Tabla2[[#This Row],[FECHA DE NACIMIENTO DEL ALUMNO]])&lt;&gt;1900,YEAR(Tabla2[[#This Row],[FECHA DE NACIMIENTO DEL ALUMNO]]),"")</f>
        <v>2009</v>
      </c>
      <c r="AE122" s="20"/>
      <c r="AF122" s="41"/>
      <c r="AG122" s="9"/>
      <c r="AH122" s="17"/>
      <c r="AI122" s="20"/>
      <c r="AJ122" s="9"/>
      <c r="AK122" s="17"/>
      <c r="AL122" s="236">
        <f>IF(Tabla2[[#This Row],[RECIBO ACTUAL]]=0,0,_xlfn.XLOOKUP(CONCATENATE(Tabla2[[#This Row],[CLASE]],Tabla2[[#This Row],[DURACIÓN]]),DevelupeMode!$P$4:$P$10,DevelupeMode!$Q$4:$Q$10,0))</f>
        <v>0</v>
      </c>
      <c r="AM122" s="21"/>
      <c r="AN122" s="22"/>
      <c r="AO122">
        <f>_xlfn.XLOOKUP(Tabla2[[#This Row],[CURSO]],DevelupeMode!$T$4:$T$11,DevelupeMode!$U$4:$U$11,AO121+1)</f>
        <v>10</v>
      </c>
    </row>
    <row r="123" spans="2:42" ht="15" hidden="1" customHeight="1" x14ac:dyDescent="0.25">
      <c r="B123" s="206"/>
      <c r="C123" s="205">
        <f>IFERROR(IF(Tabla2[[#This Row],[Status]]="",0,IF(LEFT(Tabla2[[#This Row],[Status]],4)="Baja",C122,C122+1)),1)</f>
        <v>27</v>
      </c>
      <c r="D123" s="87" t="s">
        <v>148</v>
      </c>
      <c r="E123" s="87" t="str">
        <f>IF(AND(Tabla2[[#This Row],[RECIBO ACTUAL]]="",Tabla2[[#This Row],[Status]]="Activo"),"paguenmelaren","")</f>
        <v/>
      </c>
      <c r="F123" s="87"/>
      <c r="G123" s="182">
        <v>45664</v>
      </c>
      <c r="H123" s="204" t="str">
        <f>IFERROR(CONCATENATE("AGS015",MID(Tabla2[[#This Row],[ALUMNO]],1,2),MID(Tabla2[[#This Row],[ALUMNO]],FIND(" ",Tabla2[[#This Row],[ALUMNO]],1)+1,2)),"Aguas")</f>
        <v>AGS015Ande</v>
      </c>
      <c r="I123" s="7" t="s">
        <v>429</v>
      </c>
      <c r="J123" s="7">
        <f ca="1">IFERROR(YEAR(TODAY())-Tabla2[[#This Row],[año]],"")</f>
        <v>32</v>
      </c>
      <c r="K123" s="44" t="s">
        <v>145</v>
      </c>
      <c r="L123" s="9" t="s">
        <v>57</v>
      </c>
      <c r="M123" s="9"/>
      <c r="N123" s="9"/>
      <c r="O123" s="9" t="str">
        <f>IF(Tabla2[[#This Row],[MÉTODO]]="Yamaha","Royalty","")</f>
        <v/>
      </c>
      <c r="P123" s="9"/>
      <c r="Q123" s="9" t="s">
        <v>467</v>
      </c>
      <c r="R123" s="113" t="s">
        <v>58</v>
      </c>
      <c r="S123" s="11">
        <v>0.77083333333333337</v>
      </c>
      <c r="T123" s="113" t="s">
        <v>334</v>
      </c>
      <c r="U123" s="113" t="s">
        <v>390</v>
      </c>
      <c r="V123" s="113">
        <v>50</v>
      </c>
      <c r="W123" s="142">
        <v>4499062051</v>
      </c>
      <c r="X123" s="29"/>
      <c r="Y123" s="145"/>
      <c r="Z123" s="145"/>
      <c r="AA123" s="145"/>
      <c r="AB123" s="30"/>
      <c r="AC123" s="6">
        <v>34335</v>
      </c>
      <c r="AD123" s="147">
        <f>IF(YEAR(Tabla2[[#This Row],[FECHA DE NACIMIENTO DEL ALUMNO]])&lt;&gt;1900,YEAR(Tabla2[[#This Row],[FECHA DE NACIMIENTO DEL ALUMNO]]),"")</f>
        <v>1994</v>
      </c>
      <c r="AE123" s="20"/>
      <c r="AF123" s="41"/>
      <c r="AG123" s="21"/>
      <c r="AH123" s="24"/>
      <c r="AI123" s="26"/>
      <c r="AJ123" s="54"/>
      <c r="AK123" s="24"/>
      <c r="AL123" s="236">
        <f>IF(Tabla2[[#This Row],[RECIBO ACTUAL]]=0,0,_xlfn.XLOOKUP(CONCATENATE(Tabla2[[#This Row],[CLASE]],Tabla2[[#This Row],[DURACIÓN]]),DevelupeMode!$P$4:$P$10,DevelupeMode!$Q$4:$Q$10,0))</f>
        <v>0</v>
      </c>
      <c r="AM123" s="9"/>
      <c r="AN123" s="22"/>
      <c r="AO123">
        <f>_xlfn.XLOOKUP(Tabla2[[#This Row],[CURSO]],DevelupeMode!$T$4:$T$11,DevelupeMode!$U$4:$U$11,AO122+1)</f>
        <v>10</v>
      </c>
    </row>
    <row r="124" spans="2:42" ht="15" customHeight="1" x14ac:dyDescent="0.25">
      <c r="B124" s="216"/>
      <c r="C124" s="205">
        <f>IFERROR(IF(Tabla2[[#This Row],[Status]]="",0,IF(LEFT(Tabla2[[#This Row],[Status]],4)="Baja",C123,C123+1)),1)</f>
        <v>28</v>
      </c>
      <c r="D124" s="261" t="s">
        <v>19</v>
      </c>
      <c r="E124" s="88" t="str">
        <f>IF(AND(Tabla2[[#This Row],[RECIBO ACTUAL]]="",Tabla2[[#This Row],[Status]]="Activo"),"paguenmelaren","")</f>
        <v/>
      </c>
      <c r="F124" s="87" t="s">
        <v>601</v>
      </c>
      <c r="G124" s="262">
        <v>46077</v>
      </c>
      <c r="H124" s="204" t="str">
        <f>IFERROR(CONCATENATE("AGS015",MID(Tabla2[[#This Row],[ALUMNO]],1,2),MID(Tabla2[[#This Row],[ALUMNO]],FIND(" ",Tabla2[[#This Row],[ALUMNO]],1)+1,2)),"Aguas")</f>
        <v>AGS015EmGo</v>
      </c>
      <c r="I124" s="263" t="s">
        <v>604</v>
      </c>
      <c r="J124" s="104">
        <f ca="1">IFERROR(YEAR(TODAY())-Tabla2[[#This Row],[año]],"")</f>
        <v>10</v>
      </c>
      <c r="K124" s="275" t="s">
        <v>83</v>
      </c>
      <c r="L124" s="265" t="s">
        <v>78</v>
      </c>
      <c r="M124" s="23"/>
      <c r="N124" s="23"/>
      <c r="O124" s="23" t="str">
        <f>IF(Tabla2[[#This Row],[MÉTODO]]="Yamaha","Royalty","")</f>
        <v/>
      </c>
      <c r="P124" s="84"/>
      <c r="Q124" s="84"/>
      <c r="R124" s="113" t="s">
        <v>609</v>
      </c>
      <c r="S124" s="276">
        <v>0.77083333333333337</v>
      </c>
      <c r="T124" s="266" t="s">
        <v>113</v>
      </c>
      <c r="U124" s="84"/>
      <c r="V124" s="266">
        <v>45</v>
      </c>
      <c r="W124" s="267" t="s">
        <v>605</v>
      </c>
      <c r="X124" s="50"/>
      <c r="Y124" s="84"/>
      <c r="Z124" s="84"/>
      <c r="AA124" s="84"/>
      <c r="AB124" s="51"/>
      <c r="AC124" s="268">
        <v>42370</v>
      </c>
      <c r="AD124" s="52">
        <f>IF(YEAR(Tabla2[[#This Row],[FECHA DE NACIMIENTO DEL ALUMNO]])&lt;&gt;1900,YEAR(Tabla2[[#This Row],[FECHA DE NACIMIENTO DEL ALUMNO]]),"")</f>
        <v>2016</v>
      </c>
      <c r="AE124" s="84"/>
      <c r="AF124" s="23"/>
      <c r="AG124" s="18"/>
      <c r="AH124" s="71">
        <v>651</v>
      </c>
      <c r="AI124" s="73"/>
      <c r="AJ124" s="23"/>
      <c r="AK124" s="71">
        <v>672</v>
      </c>
      <c r="AL124" s="236">
        <f>IF(Tabla2[[#This Row],[RECIBO ACTUAL]]=0,0,_xlfn.XLOOKUP(CONCATENATE(Tabla2[[#This Row],[CLASE]],Tabla2[[#This Row],[DURACIÓN]]),DevelupeMode!$P$4:$P$10,DevelupeMode!$Q$4:$Q$10,0))</f>
        <v>1490</v>
      </c>
      <c r="AM124" s="32" t="s">
        <v>413</v>
      </c>
      <c r="AN124" s="23"/>
      <c r="AO124">
        <f>_xlfn.XLOOKUP(Tabla2[[#This Row],[CURSO]],DevelupeMode!$T$4:$T$11,DevelupeMode!$U$4:$U$11,AO123+1)</f>
        <v>6</v>
      </c>
      <c r="AP124" s="81"/>
    </row>
    <row r="125" spans="2:42" ht="15" hidden="1" customHeight="1" x14ac:dyDescent="0.25">
      <c r="B125" s="206"/>
      <c r="C125" s="205">
        <f>IFERROR(IF(Tabla2[[#This Row],[Status]]="",0,IF(LEFT(Tabla2[[#This Row],[Status]],4)="Baja",C124,C124+1)),1)</f>
        <v>28</v>
      </c>
      <c r="D125" s="87" t="s">
        <v>148</v>
      </c>
      <c r="E125" s="87" t="str">
        <f>IF(AND(Tabla2[[#This Row],[RECIBO ACTUAL]]="",Tabla2[[#This Row],[Status]]="Activo"),"paguenmelaren","")</f>
        <v/>
      </c>
      <c r="F125" s="87"/>
      <c r="G125" s="182">
        <v>45391</v>
      </c>
      <c r="H125" s="204" t="str">
        <f>IFERROR(CONCATENATE("AGS015",MID(Tabla2[[#This Row],[ALUMNO]],1,2),MID(Tabla2[[#This Row],[ALUMNO]],FIND(" ",Tabla2[[#This Row],[ALUMNO]],1)+1,2)),"Aguas")</f>
        <v>AGS015LeDa</v>
      </c>
      <c r="I125" s="7" t="s">
        <v>160</v>
      </c>
      <c r="J125" s="7">
        <f ca="1">IFERROR(YEAR(TODAY())-Tabla2[[#This Row],[año]],"")</f>
        <v>32</v>
      </c>
      <c r="K125" s="44" t="s">
        <v>145</v>
      </c>
      <c r="L125" s="9" t="s">
        <v>57</v>
      </c>
      <c r="M125" s="9">
        <v>10</v>
      </c>
      <c r="N125" s="9" t="s">
        <v>24</v>
      </c>
      <c r="O125" s="9"/>
      <c r="P125" s="9"/>
      <c r="Q125" s="9" t="s">
        <v>467</v>
      </c>
      <c r="R125" s="113" t="s">
        <v>58</v>
      </c>
      <c r="S125" s="11">
        <v>0.79166666666666663</v>
      </c>
      <c r="T125" s="113" t="s">
        <v>334</v>
      </c>
      <c r="U125" s="113"/>
      <c r="V125" s="113">
        <v>50</v>
      </c>
      <c r="W125" s="142">
        <v>4491518169</v>
      </c>
      <c r="X125" s="29" t="s">
        <v>22</v>
      </c>
      <c r="Y125" s="145"/>
      <c r="Z125" s="145"/>
      <c r="AA125" s="145"/>
      <c r="AB125" s="30" t="s">
        <v>74</v>
      </c>
      <c r="AC125" s="6">
        <v>34671</v>
      </c>
      <c r="AD125" s="147">
        <f>IF(YEAR(Tabla2[[#This Row],[FECHA DE NACIMIENTO DEL ALUMNO]])&lt;&gt;1900,YEAR(Tabla2[[#This Row],[FECHA DE NACIMIENTO DEL ALUMNO]]),"")</f>
        <v>1994</v>
      </c>
      <c r="AE125" s="20"/>
      <c r="AF125" s="41"/>
      <c r="AG125" s="21"/>
      <c r="AH125" s="17"/>
      <c r="AI125" s="20"/>
      <c r="AJ125" s="9"/>
      <c r="AK125" s="17"/>
      <c r="AL125" s="236">
        <f>IF(Tabla2[[#This Row],[RECIBO ACTUAL]]=0,0,_xlfn.XLOOKUP(CONCATENATE(Tabla2[[#This Row],[CLASE]],Tabla2[[#This Row],[DURACIÓN]]),DevelupeMode!$P$4:$P$10,DevelupeMode!$Q$4:$Q$10,0))</f>
        <v>0</v>
      </c>
      <c r="AM125" s="9"/>
      <c r="AN125" s="22"/>
      <c r="AO125">
        <f>_xlfn.XLOOKUP(Tabla2[[#This Row],[CURSO]],DevelupeMode!$T$4:$T$11,DevelupeMode!$U$4:$U$11,AO124+1)</f>
        <v>10</v>
      </c>
    </row>
    <row r="126" spans="2:42" ht="15" hidden="1" customHeight="1" x14ac:dyDescent="0.25">
      <c r="B126" s="206"/>
      <c r="C126" s="205">
        <f>IFERROR(IF(Tabla2[[#This Row],[Status]]="",0,IF(LEFT(Tabla2[[#This Row],[Status]],4)="Baja",C125,C125+1)),1)</f>
        <v>28</v>
      </c>
      <c r="D126" s="87" t="s">
        <v>376</v>
      </c>
      <c r="E126" s="87" t="str">
        <f>IF(AND(Tabla2[[#This Row],[RECIBO ACTUAL]]="",Tabla2[[#This Row],[Status]]="Activo"),"paguenmelaren","")</f>
        <v/>
      </c>
      <c r="F126" s="87"/>
      <c r="G126" s="182">
        <v>45376</v>
      </c>
      <c r="H126" s="204" t="str">
        <f>IFERROR(CONCATENATE("AGS015",MID(Tabla2[[#This Row],[ALUMNO]],1,2),MID(Tabla2[[#This Row],[ALUMNO]],FIND(" ",Tabla2[[#This Row],[ALUMNO]],1)+1,2)),"Aguas")</f>
        <v>AGS015NaOl</v>
      </c>
      <c r="I126" s="7" t="s">
        <v>161</v>
      </c>
      <c r="J126" s="7" t="str">
        <f ca="1">IFERROR(YEAR(TODAY())-Tabla2[[#This Row],[año]],"")</f>
        <v/>
      </c>
      <c r="K126" s="44" t="s">
        <v>145</v>
      </c>
      <c r="L126" s="9" t="s">
        <v>57</v>
      </c>
      <c r="M126" s="9"/>
      <c r="N126" s="9"/>
      <c r="O126" s="9" t="str">
        <f>IF(Tabla2[[#This Row],[MÉTODO]]="Yamaha","Royalty","")</f>
        <v/>
      </c>
      <c r="P126" s="9"/>
      <c r="Q126" s="9"/>
      <c r="R126" s="113" t="s">
        <v>32</v>
      </c>
      <c r="S126" s="11">
        <v>0.64583333333333337</v>
      </c>
      <c r="T126" s="113" t="s">
        <v>113</v>
      </c>
      <c r="U126" s="113"/>
      <c r="V126" s="113">
        <v>45</v>
      </c>
      <c r="W126" s="142">
        <v>4498966850</v>
      </c>
      <c r="X126" s="29" t="s">
        <v>170</v>
      </c>
      <c r="Y126" s="145"/>
      <c r="Z126" s="145"/>
      <c r="AA126" s="145"/>
      <c r="AB126" s="30"/>
      <c r="AC126" s="6"/>
      <c r="AD126" s="147" t="str">
        <f>IF(YEAR(Tabla2[[#This Row],[FECHA DE NACIMIENTO DEL ALUMNO]])&lt;&gt;1900,YEAR(Tabla2[[#This Row],[FECHA DE NACIMIENTO DEL ALUMNO]]),"")</f>
        <v/>
      </c>
      <c r="AE126" s="20"/>
      <c r="AF126" s="41"/>
      <c r="AG126" s="20"/>
      <c r="AH126" s="24"/>
      <c r="AI126" s="20"/>
      <c r="AJ126" s="9"/>
      <c r="AK126" s="24"/>
      <c r="AL126" s="236">
        <f>IF(Tabla2[[#This Row],[RECIBO ACTUAL]]=0,0,_xlfn.XLOOKUP(CONCATENATE(Tabla2[[#This Row],[CLASE]],Tabla2[[#This Row],[DURACIÓN]]),DevelupeMode!$P$4:$P$10,DevelupeMode!$Q$4:$Q$10,0))</f>
        <v>0</v>
      </c>
      <c r="AM126" s="9"/>
      <c r="AN126" s="22"/>
      <c r="AO126">
        <f>_xlfn.XLOOKUP(Tabla2[[#This Row],[CURSO]],DevelupeMode!$T$4:$T$11,DevelupeMode!$U$4:$U$11,AO125+1)</f>
        <v>10</v>
      </c>
    </row>
    <row r="127" spans="2:42" ht="15" hidden="1" customHeight="1" x14ac:dyDescent="0.25">
      <c r="B127" s="206"/>
      <c r="C127" s="205">
        <f>IFERROR(IF(Tabla2[[#This Row],[Status]]="",0,IF(LEFT(Tabla2[[#This Row],[Status]],4)="Baja",C126,C126+1)),1)</f>
        <v>28</v>
      </c>
      <c r="D127" s="87" t="s">
        <v>148</v>
      </c>
      <c r="E127" s="87" t="str">
        <f>IF(AND(Tabla2[[#This Row],[RECIBO ACTUAL]]="",Tabla2[[#This Row],[Status]]="Activo"),"paguenmelaren","")</f>
        <v/>
      </c>
      <c r="F127" s="87"/>
      <c r="G127" s="182">
        <v>45355</v>
      </c>
      <c r="H127" s="204" t="str">
        <f>IFERROR(CONCATENATE("AGS015",MID(Tabla2[[#This Row],[ALUMNO]],1,2),MID(Tabla2[[#This Row],[ALUMNO]],FIND(" ",Tabla2[[#This Row],[ALUMNO]],1)+1,2)),"Aguas")</f>
        <v>AGS015JoMa</v>
      </c>
      <c r="I127" s="7" t="s">
        <v>159</v>
      </c>
      <c r="J127" s="7">
        <f ca="1">IFERROR(YEAR(TODAY())-Tabla2[[#This Row],[año]],"")</f>
        <v>38</v>
      </c>
      <c r="K127" s="44" t="s">
        <v>145</v>
      </c>
      <c r="L127" s="9" t="s">
        <v>57</v>
      </c>
      <c r="M127" s="9">
        <v>10</v>
      </c>
      <c r="N127" s="9" t="s">
        <v>24</v>
      </c>
      <c r="O127" s="9"/>
      <c r="P127" s="9"/>
      <c r="Q127" s="9"/>
      <c r="R127" s="72" t="s">
        <v>58</v>
      </c>
      <c r="S127" s="11">
        <v>0.77083333333333337</v>
      </c>
      <c r="T127" s="113" t="s">
        <v>334</v>
      </c>
      <c r="U127" s="113"/>
      <c r="V127" s="113">
        <v>50</v>
      </c>
      <c r="W127" s="144">
        <v>5562513531</v>
      </c>
      <c r="X127" s="50" t="s">
        <v>22</v>
      </c>
      <c r="Y127" s="144"/>
      <c r="Z127" s="144"/>
      <c r="AA127" s="144"/>
      <c r="AB127" s="51" t="s">
        <v>67</v>
      </c>
      <c r="AC127" s="52">
        <v>32420</v>
      </c>
      <c r="AD127" s="147">
        <f>IF(YEAR(Tabla2[[#This Row],[FECHA DE NACIMIENTO DEL ALUMNO]])&lt;&gt;1900,YEAR(Tabla2[[#This Row],[FECHA DE NACIMIENTO DEL ALUMNO]]),"")</f>
        <v>1988</v>
      </c>
      <c r="AE127" s="18"/>
      <c r="AF127" s="31"/>
      <c r="AG127" s="154"/>
      <c r="AH127" s="17"/>
      <c r="AI127" s="20"/>
      <c r="AJ127" s="23"/>
      <c r="AK127" s="17"/>
      <c r="AL127" s="236">
        <f>IF(Tabla2[[#This Row],[RECIBO ACTUAL]]=0,0,_xlfn.XLOOKUP(CONCATENATE(Tabla2[[#This Row],[CLASE]],Tabla2[[#This Row],[DURACIÓN]]),DevelupeMode!$P$4:$P$10,DevelupeMode!$Q$4:$Q$10,0))</f>
        <v>0</v>
      </c>
      <c r="AM127" s="9"/>
      <c r="AN127" s="34"/>
      <c r="AO127">
        <f>_xlfn.XLOOKUP(Tabla2[[#This Row],[CURSO]],DevelupeMode!$T$4:$T$11,DevelupeMode!$U$4:$U$11,AO126+1)</f>
        <v>10</v>
      </c>
    </row>
    <row r="128" spans="2:42" ht="15" hidden="1" customHeight="1" x14ac:dyDescent="0.25">
      <c r="B128" s="206"/>
      <c r="C128" s="205">
        <f>IFERROR(IF(Tabla2[[#This Row],[Status]]="",0,IF(LEFT(Tabla2[[#This Row],[Status]],4)="Baja",C127,C127+1)),1)</f>
        <v>28</v>
      </c>
      <c r="D128" s="87" t="s">
        <v>148</v>
      </c>
      <c r="E128" s="87" t="str">
        <f>IF(AND(Tabla2[[#This Row],[RECIBO ACTUAL]]="",Tabla2[[#This Row],[Status]]="Activo"),"paguenmelaren","")</f>
        <v/>
      </c>
      <c r="F128" s="87"/>
      <c r="G128" s="182">
        <v>45762</v>
      </c>
      <c r="H128" s="204" t="str">
        <f>IFERROR(CONCATENATE("AGS015",MID(Tabla2[[#This Row],[ALUMNO]],1,2),MID(Tabla2[[#This Row],[ALUMNO]],FIND(" ",Tabla2[[#This Row],[ALUMNO]],1)+1,2)),"Aguas")</f>
        <v>AGS015HeMa</v>
      </c>
      <c r="I128" s="7" t="s">
        <v>524</v>
      </c>
      <c r="J128" s="7"/>
      <c r="K128" s="44" t="s">
        <v>145</v>
      </c>
      <c r="L128" s="9" t="s">
        <v>57</v>
      </c>
      <c r="M128" s="32">
        <v>10</v>
      </c>
      <c r="N128" s="23" t="s">
        <v>24</v>
      </c>
      <c r="O128" s="9"/>
      <c r="P128" s="9"/>
      <c r="Q128" s="9"/>
      <c r="R128" s="113" t="s">
        <v>58</v>
      </c>
      <c r="S128" s="11">
        <v>0.75</v>
      </c>
      <c r="T128" s="113" t="s">
        <v>334</v>
      </c>
      <c r="U128" s="113"/>
      <c r="V128" s="113">
        <v>50</v>
      </c>
      <c r="W128" s="142" t="s">
        <v>525</v>
      </c>
      <c r="X128" s="29"/>
      <c r="Y128" s="145"/>
      <c r="Z128" s="145"/>
      <c r="AA128" s="145"/>
      <c r="AB128" s="28"/>
      <c r="AC128" s="6">
        <v>24108</v>
      </c>
      <c r="AD128" s="147">
        <f>IF(YEAR(Tabla2[[#This Row],[FECHA DE NACIMIENTO DEL ALUMNO]])&lt;&gt;1900,YEAR(Tabla2[[#This Row],[FECHA DE NACIMIENTO DEL ALUMNO]]),"")</f>
        <v>1966</v>
      </c>
      <c r="AE128" s="18"/>
      <c r="AF128" s="9"/>
      <c r="AG128" s="153"/>
      <c r="AH128" s="71"/>
      <c r="AI128" s="73"/>
      <c r="AJ128" s="23"/>
      <c r="AK128" s="71"/>
      <c r="AL128" s="236">
        <f>IF(Tabla2[[#This Row],[RECIBO ACTUAL]]=0,0,_xlfn.XLOOKUP(CONCATENATE(Tabla2[[#This Row],[CLASE]],Tabla2[[#This Row],[DURACIÓN]]),DevelupeMode!$P$4:$P$10,DevelupeMode!$Q$4:$Q$10,0))</f>
        <v>0</v>
      </c>
      <c r="AM128" s="21"/>
      <c r="AN128" s="22"/>
      <c r="AO128">
        <f>_xlfn.XLOOKUP(Tabla2[[#This Row],[CURSO]],DevelupeMode!$T$4:$T$11,DevelupeMode!$U$4:$U$11,AO127+1)</f>
        <v>10</v>
      </c>
    </row>
    <row r="129" spans="2:42" ht="15" hidden="1" customHeight="1" x14ac:dyDescent="0.25">
      <c r="B129" s="206"/>
      <c r="C129" s="205">
        <f>IFERROR(IF(Tabla2[[#This Row],[Status]]="",0,IF(LEFT(Tabla2[[#This Row],[Status]],4)="Baja",C128,C128+1)),1)</f>
        <v>28</v>
      </c>
      <c r="D129" s="87" t="s">
        <v>148</v>
      </c>
      <c r="E129" s="87" t="str">
        <f>IF(AND(Tabla2[[#This Row],[RECIBO ACTUAL]]="",Tabla2[[#This Row],[Status]]="Activo"),"paguenmelaren","")</f>
        <v/>
      </c>
      <c r="F129" s="87"/>
      <c r="G129" s="182">
        <v>45689</v>
      </c>
      <c r="H129" s="204" t="str">
        <f>IFERROR(CONCATENATE("AGS015",MID(Tabla2[[#This Row],[ALUMNO]],1,2),MID(Tabla2[[#This Row],[ALUMNO]],FIND(" ",Tabla2[[#This Row],[ALUMNO]],1)+1,2)),"Aguas")</f>
        <v>AGS015EmAi</v>
      </c>
      <c r="I129" s="7" t="s">
        <v>477</v>
      </c>
      <c r="J129" s="7">
        <f ca="1">IFERROR(YEAR(TODAY())-Tabla2[[#This Row],[año]],"")</f>
        <v>17</v>
      </c>
      <c r="K129" s="44" t="s">
        <v>145</v>
      </c>
      <c r="L129" s="9" t="s">
        <v>57</v>
      </c>
      <c r="M129" s="9"/>
      <c r="N129" s="9"/>
      <c r="O129" s="9" t="str">
        <f>IF(Tabla2[[#This Row],[MÉTODO]]="Yamaha","Royalty","")</f>
        <v/>
      </c>
      <c r="P129" s="9"/>
      <c r="Q129" s="9"/>
      <c r="R129" s="113" t="s">
        <v>58</v>
      </c>
      <c r="S129" s="11">
        <v>0.77083333333333337</v>
      </c>
      <c r="T129" s="113" t="s">
        <v>334</v>
      </c>
      <c r="U129" s="113"/>
      <c r="V129" s="113">
        <v>50</v>
      </c>
      <c r="W129" s="142"/>
      <c r="X129" s="29"/>
      <c r="Y129" s="142" t="s">
        <v>31</v>
      </c>
      <c r="Z129" s="145"/>
      <c r="AA129" s="145"/>
      <c r="AB129" s="28"/>
      <c r="AC129" s="25">
        <v>39814</v>
      </c>
      <c r="AD129" s="147">
        <f>IF(YEAR(Tabla2[[#This Row],[FECHA DE NACIMIENTO DEL ALUMNO]])&lt;&gt;1900,YEAR(Tabla2[[#This Row],[FECHA DE NACIMIENTO DEL ALUMNO]]),"")</f>
        <v>2009</v>
      </c>
      <c r="AE129" s="18"/>
      <c r="AF129" s="9"/>
      <c r="AG129" s="153"/>
      <c r="AH129" s="17"/>
      <c r="AI129" s="166"/>
      <c r="AJ129" s="53"/>
      <c r="AK129" s="17"/>
      <c r="AL129" s="236">
        <f>IF(Tabla2[[#This Row],[RECIBO ACTUAL]]=0,0,_xlfn.XLOOKUP(CONCATENATE(Tabla2[[#This Row],[CLASE]],Tabla2[[#This Row],[DURACIÓN]]),DevelupeMode!$P$4:$P$10,DevelupeMode!$Q$4:$Q$10,0))</f>
        <v>0</v>
      </c>
      <c r="AM129" s="21"/>
      <c r="AN129" s="22"/>
      <c r="AO129">
        <f>_xlfn.XLOOKUP(Tabla2[[#This Row],[CURSO]],DevelupeMode!$T$4:$T$11,DevelupeMode!$U$4:$U$11,AO128+1)</f>
        <v>10</v>
      </c>
    </row>
    <row r="130" spans="2:42" ht="15" hidden="1" customHeight="1" x14ac:dyDescent="0.25">
      <c r="B130" s="206"/>
      <c r="C130" s="205">
        <f>IFERROR(IF(Tabla2[[#This Row],[Status]]="",0,IF(LEFT(Tabla2[[#This Row],[Status]],4)="Baja",C129,C129+1)),1)</f>
        <v>28</v>
      </c>
      <c r="D130" s="87" t="s">
        <v>148</v>
      </c>
      <c r="E130" s="88" t="str">
        <f>IF(AND(Tabla2[[#This Row],[RECIBO ACTUAL]]="",Tabla2[[#This Row],[Status]]="Activo"),"paguenmelaren","")</f>
        <v/>
      </c>
      <c r="F130" s="87"/>
      <c r="G130" s="182">
        <v>45762</v>
      </c>
      <c r="H130" s="204" t="str">
        <f>IFERROR(CONCATENATE("AGS015",MID(Tabla2[[#This Row],[ALUMNO]],1,2),MID(Tabla2[[#This Row],[ALUMNO]],FIND(" ",Tabla2[[#This Row],[ALUMNO]],1)+1,2)),"Aguas")</f>
        <v>AGS015CaVi</v>
      </c>
      <c r="I130" s="7" t="s">
        <v>530</v>
      </c>
      <c r="J130" s="7"/>
      <c r="K130" s="44" t="s">
        <v>145</v>
      </c>
      <c r="L130" s="9" t="s">
        <v>57</v>
      </c>
      <c r="M130" s="32">
        <v>10</v>
      </c>
      <c r="N130" s="23" t="s">
        <v>24</v>
      </c>
      <c r="O130" s="9"/>
      <c r="P130" s="9"/>
      <c r="Q130" s="9"/>
      <c r="R130" s="113" t="s">
        <v>58</v>
      </c>
      <c r="S130" s="11">
        <v>0.75</v>
      </c>
      <c r="T130" s="113" t="s">
        <v>334</v>
      </c>
      <c r="U130" s="113"/>
      <c r="V130" s="113">
        <v>50</v>
      </c>
      <c r="W130" s="142" t="s">
        <v>531</v>
      </c>
      <c r="X130" s="29"/>
      <c r="Y130" s="145"/>
      <c r="Z130" s="145"/>
      <c r="AA130" s="145"/>
      <c r="AB130" s="28"/>
      <c r="AC130" s="6">
        <v>36161</v>
      </c>
      <c r="AD130" s="147">
        <f>IF(YEAR(Tabla2[[#This Row],[FECHA DE NACIMIENTO DEL ALUMNO]])&lt;&gt;1900,YEAR(Tabla2[[#This Row],[FECHA DE NACIMIENTO DEL ALUMNO]]),"")</f>
        <v>1999</v>
      </c>
      <c r="AE130" s="18"/>
      <c r="AF130" s="9"/>
      <c r="AG130" s="153"/>
      <c r="AH130" s="71"/>
      <c r="AI130" s="73"/>
      <c r="AJ130" s="23"/>
      <c r="AK130" s="71"/>
      <c r="AL130" s="236">
        <f>IF(Tabla2[[#This Row],[RECIBO ACTUAL]]=0,0,_xlfn.XLOOKUP(CONCATENATE(Tabla2[[#This Row],[CLASE]],Tabla2[[#This Row],[DURACIÓN]]),DevelupeMode!$P$4:$P$10,DevelupeMode!$Q$4:$Q$10,0))</f>
        <v>0</v>
      </c>
      <c r="AM130" s="21"/>
      <c r="AN130" s="22"/>
      <c r="AO130">
        <f>_xlfn.XLOOKUP(Tabla2[[#This Row],[CURSO]],DevelupeMode!$T$4:$T$11,DevelupeMode!$U$4:$U$11,AO129+1)</f>
        <v>10</v>
      </c>
    </row>
    <row r="131" spans="2:42" ht="15" hidden="1" customHeight="1" x14ac:dyDescent="0.25">
      <c r="B131" s="206"/>
      <c r="C131" s="205">
        <f>IFERROR(IF(Tabla2[[#This Row],[Status]]="",0,IF(LEFT(Tabla2[[#This Row],[Status]],4)="Baja",C130,C130+1)),1)</f>
        <v>28</v>
      </c>
      <c r="D131" s="87" t="s">
        <v>148</v>
      </c>
      <c r="E131" s="87" t="str">
        <f>IF(AND(Tabla2[[#This Row],[RECIBO ACTUAL]]="",Tabla2[[#This Row],[Status]]="Activo"),"paguenmelaren","")</f>
        <v/>
      </c>
      <c r="F131" s="87"/>
      <c r="G131" s="182">
        <v>45497</v>
      </c>
      <c r="H131" s="204" t="str">
        <f>IFERROR(CONCATENATE("AGS015",MID(Tabla2[[#This Row],[ALUMNO]],1,2),MID(Tabla2[[#This Row],[ALUMNO]],FIND(" ",Tabla2[[#This Row],[ALUMNO]],1)+1,2)),"Aguas")</f>
        <v>AGS015IsCo</v>
      </c>
      <c r="I131" s="7" t="s">
        <v>312</v>
      </c>
      <c r="J131" s="7">
        <f ca="1">IFERROR(YEAR(TODAY())-Tabla2[[#This Row],[año]],"")</f>
        <v>29</v>
      </c>
      <c r="K131" s="44" t="s">
        <v>145</v>
      </c>
      <c r="L131" s="9" t="s">
        <v>57</v>
      </c>
      <c r="M131" s="9"/>
      <c r="N131" s="9"/>
      <c r="O131" s="9" t="str">
        <f>IF(Tabla2[[#This Row],[MÉTODO]]="Yamaha","Royalty","")</f>
        <v/>
      </c>
      <c r="P131" s="9"/>
      <c r="Q131" s="9"/>
      <c r="R131" s="113" t="s">
        <v>35</v>
      </c>
      <c r="S131" s="11">
        <v>0.5</v>
      </c>
      <c r="T131" s="113" t="s">
        <v>334</v>
      </c>
      <c r="U131" s="113"/>
      <c r="V131" s="113">
        <v>50</v>
      </c>
      <c r="W131" s="142">
        <v>4495372718</v>
      </c>
      <c r="X131" s="29"/>
      <c r="Y131" s="145"/>
      <c r="Z131" s="145"/>
      <c r="AA131" s="145"/>
      <c r="AB131" s="30"/>
      <c r="AC131" s="6">
        <v>35431</v>
      </c>
      <c r="AD131" s="147">
        <f>IF(YEAR(Tabla2[[#This Row],[FECHA DE NACIMIENTO DEL ALUMNO]])&lt;&gt;1900,YEAR(Tabla2[[#This Row],[FECHA DE NACIMIENTO DEL ALUMNO]]),"")</f>
        <v>1997</v>
      </c>
      <c r="AE131" s="20">
        <v>600</v>
      </c>
      <c r="AF131" s="41"/>
      <c r="AG131" s="153">
        <v>498</v>
      </c>
      <c r="AH131" s="24"/>
      <c r="AI131" s="26"/>
      <c r="AJ131" s="54"/>
      <c r="AK131" s="24"/>
      <c r="AL131" s="236">
        <f>IF(Tabla2[[#This Row],[RECIBO ACTUAL]]=0,0,_xlfn.XLOOKUP(CONCATENATE(Tabla2[[#This Row],[CLASE]],Tabla2[[#This Row],[DURACIÓN]]),DevelupeMode!$P$4:$P$10,DevelupeMode!$Q$4:$Q$10,0))</f>
        <v>0</v>
      </c>
      <c r="AM131" s="9"/>
      <c r="AN131" s="22"/>
      <c r="AO131">
        <f>_xlfn.XLOOKUP(Tabla2[[#This Row],[CURSO]],DevelupeMode!$T$4:$T$11,DevelupeMode!$U$4:$U$11,AO130+1)</f>
        <v>10</v>
      </c>
    </row>
    <row r="132" spans="2:42" ht="15" customHeight="1" x14ac:dyDescent="0.25">
      <c r="B132" s="206"/>
      <c r="C132" s="205">
        <f>IFERROR(IF(Tabla2[[#This Row],[Status]]="",0,IF(LEFT(Tabla2[[#This Row],[Status]],4)="Baja",C131,C131+1)),1)</f>
        <v>29</v>
      </c>
      <c r="D132" s="87" t="s">
        <v>19</v>
      </c>
      <c r="E132" s="87" t="str">
        <f>IF(AND(Tabla2[[#This Row],[RECIBO ACTUAL]]="",Tabla2[[#This Row],[Status]]="Activo"),"paguenmelaren","")</f>
        <v/>
      </c>
      <c r="F132" s="87"/>
      <c r="G132" s="182">
        <v>45745</v>
      </c>
      <c r="H132" s="204" t="str">
        <f>IFERROR(CONCATENATE("AGS015",MID(Tabla2[[#This Row],[ALUMNO]],1,2),MID(Tabla2[[#This Row],[ALUMNO]],FIND(" ",Tabla2[[#This Row],[ALUMNO]],1)+1,2)),"Aguas")</f>
        <v>AGS015OtVa</v>
      </c>
      <c r="I132" s="7" t="s">
        <v>514</v>
      </c>
      <c r="J132" s="7" t="str">
        <f ca="1">IFERROR(YEAR(TODAY())-Tabla2[[#This Row],[año]],"")</f>
        <v/>
      </c>
      <c r="K132" s="254" t="s">
        <v>83</v>
      </c>
      <c r="L132" s="9" t="s">
        <v>78</v>
      </c>
      <c r="M132" s="9"/>
      <c r="N132" s="9"/>
      <c r="O132" s="9" t="str">
        <f>IF(Tabla2[[#This Row],[MÉTODO]]="Yamaha","Royalty","")</f>
        <v/>
      </c>
      <c r="P132" s="9"/>
      <c r="Q132" s="9"/>
      <c r="R132" s="266" t="s">
        <v>612</v>
      </c>
      <c r="S132" s="11">
        <v>0.47916666666666669</v>
      </c>
      <c r="T132" s="113" t="s">
        <v>113</v>
      </c>
      <c r="U132" s="113"/>
      <c r="V132" s="113">
        <v>45</v>
      </c>
      <c r="W132" s="142"/>
      <c r="X132" s="28"/>
      <c r="Y132" s="142"/>
      <c r="Z132" s="142"/>
      <c r="AA132" s="142"/>
      <c r="AB132" s="30"/>
      <c r="AC132" s="6"/>
      <c r="AD132" s="147" t="str">
        <f>IF(YEAR(Tabla2[[#This Row],[FECHA DE NACIMIENTO DEL ALUMNO]])&lt;&gt;1900,YEAR(Tabla2[[#This Row],[FECHA DE NACIMIENTO DEL ALUMNO]]),"")</f>
        <v/>
      </c>
      <c r="AE132" s="14"/>
      <c r="AF132" s="15"/>
      <c r="AG132" s="152"/>
      <c r="AH132" s="71">
        <v>635</v>
      </c>
      <c r="AI132" s="73"/>
      <c r="AJ132" s="54"/>
      <c r="AK132" s="71">
        <v>660</v>
      </c>
      <c r="AL132" s="236">
        <f>IF(Tabla2[[#This Row],[RECIBO ACTUAL]]=0,0,_xlfn.XLOOKUP(CONCATENATE(Tabla2[[#This Row],[CLASE]],Tabla2[[#This Row],[DURACIÓN]]),DevelupeMode!$P$4:$P$10,DevelupeMode!$Q$4:$Q$10,0))</f>
        <v>1490</v>
      </c>
      <c r="AM132" s="21" t="s">
        <v>413</v>
      </c>
      <c r="AN132" s="22"/>
      <c r="AO132">
        <f>_xlfn.XLOOKUP(Tabla2[[#This Row],[CURSO]],DevelupeMode!$T$4:$T$11,DevelupeMode!$U$4:$U$11,AO131+1)</f>
        <v>6</v>
      </c>
    </row>
    <row r="133" spans="2:42" ht="15" hidden="1" customHeight="1" x14ac:dyDescent="0.25">
      <c r="B133" s="206"/>
      <c r="C133" s="205">
        <f>IFERROR(IF(Tabla2[[#This Row],[Status]]="",0,IF(LEFT(Tabla2[[#This Row],[Status]],4)="Baja",C132,C132+1)),1)</f>
        <v>29</v>
      </c>
      <c r="D133" s="87" t="s">
        <v>148</v>
      </c>
      <c r="E133" s="87" t="str">
        <f>IF(AND(Tabla2[[#This Row],[RECIBO ACTUAL]]="",Tabla2[[#This Row],[Status]]="Activo"),"paguenmelaren","")</f>
        <v/>
      </c>
      <c r="F133" s="87"/>
      <c r="G133" s="182">
        <v>45497</v>
      </c>
      <c r="H133" s="204" t="str">
        <f>IFERROR(CONCATENATE("AGS015",MID(Tabla2[[#This Row],[ALUMNO]],1,2),MID(Tabla2[[#This Row],[ALUMNO]],FIND(" ",Tabla2[[#This Row],[ALUMNO]],1)+1,2)),"Aguas")</f>
        <v>AGS015SuGu</v>
      </c>
      <c r="I133" s="7" t="s">
        <v>206</v>
      </c>
      <c r="J133" s="7">
        <f ca="1">IFERROR(YEAR(TODAY())-Tabla2[[#This Row],[año]],"")</f>
        <v>13</v>
      </c>
      <c r="K133" s="44" t="s">
        <v>145</v>
      </c>
      <c r="L133" s="9" t="s">
        <v>57</v>
      </c>
      <c r="M133" s="32">
        <v>10</v>
      </c>
      <c r="N133" s="23" t="s">
        <v>24</v>
      </c>
      <c r="O133" s="9"/>
      <c r="P133" s="9"/>
      <c r="Q133" s="9"/>
      <c r="R133" s="113" t="s">
        <v>35</v>
      </c>
      <c r="S133" s="11">
        <v>0.5</v>
      </c>
      <c r="T133" s="113" t="s">
        <v>334</v>
      </c>
      <c r="U133" s="113"/>
      <c r="V133" s="113">
        <v>50</v>
      </c>
      <c r="W133" s="142">
        <v>4493050934</v>
      </c>
      <c r="X133" s="29"/>
      <c r="Y133" s="145"/>
      <c r="Z133" s="145"/>
      <c r="AA133" s="145"/>
      <c r="AB133" s="28"/>
      <c r="AC133" s="6">
        <v>41275</v>
      </c>
      <c r="AD133" s="147">
        <f>IF(YEAR(Tabla2[[#This Row],[FECHA DE NACIMIENTO DEL ALUMNO]])&lt;&gt;1900,YEAR(Tabla2[[#This Row],[FECHA DE NACIMIENTO DEL ALUMNO]]),"")</f>
        <v>2013</v>
      </c>
      <c r="AE133" s="18">
        <v>600</v>
      </c>
      <c r="AF133" s="9" t="s">
        <v>205</v>
      </c>
      <c r="AG133" s="153">
        <v>540</v>
      </c>
      <c r="AH133" s="17"/>
      <c r="AI133" s="166"/>
      <c r="AJ133" s="53"/>
      <c r="AK133" s="17"/>
      <c r="AL133" s="236">
        <f>IF(Tabla2[[#This Row],[RECIBO ACTUAL]]=0,0,_xlfn.XLOOKUP(CONCATENATE(Tabla2[[#This Row],[CLASE]],Tabla2[[#This Row],[DURACIÓN]]),DevelupeMode!$P$4:$P$10,DevelupeMode!$Q$4:$Q$10,0))</f>
        <v>0</v>
      </c>
      <c r="AM133" s="21"/>
      <c r="AN133" s="22"/>
      <c r="AO133">
        <f>_xlfn.XLOOKUP(Tabla2[[#This Row],[CURSO]],DevelupeMode!$T$4:$T$11,DevelupeMode!$U$4:$U$11,AO132+1)</f>
        <v>10</v>
      </c>
    </row>
    <row r="134" spans="2:42" ht="15" customHeight="1" x14ac:dyDescent="0.25">
      <c r="B134" s="206"/>
      <c r="C134" s="205">
        <f>IFERROR(IF(Tabla2[[#This Row],[Status]]="",0,IF(LEFT(Tabla2[[#This Row],[Status]],4)="Baja",C133,C133+1)),1)</f>
        <v>30</v>
      </c>
      <c r="D134" s="87" t="s">
        <v>19</v>
      </c>
      <c r="E134" s="87" t="str">
        <f>IF(AND(Tabla2[[#This Row],[RECIBO ACTUAL]]="",Tabla2[[#This Row],[Status]]="Activo"),"paguenmelaren","")</f>
        <v/>
      </c>
      <c r="F134" s="87"/>
      <c r="G134" s="182">
        <v>45467</v>
      </c>
      <c r="H134" s="204" t="str">
        <f>IFERROR(CONCATENATE("AGS015",MID(Tabla2[[#This Row],[ALUMNO]],1,2),MID(Tabla2[[#This Row],[ALUMNO]],FIND(" ",Tabla2[[#This Row],[ALUMNO]],1)+1,2)),"Aguas")</f>
        <v>AGS015YoMa</v>
      </c>
      <c r="I134" s="7" t="s">
        <v>180</v>
      </c>
      <c r="J134" s="7">
        <f ca="1">IFERROR(YEAR(TODAY())-Tabla2[[#This Row],[año]],"")</f>
        <v>69</v>
      </c>
      <c r="K134" s="254" t="s">
        <v>83</v>
      </c>
      <c r="L134" s="9" t="s">
        <v>78</v>
      </c>
      <c r="M134" s="9"/>
      <c r="N134" s="9"/>
      <c r="O134" s="9" t="s">
        <v>447</v>
      </c>
      <c r="P134" s="9"/>
      <c r="Q134" s="9"/>
      <c r="R134" s="266" t="s">
        <v>612</v>
      </c>
      <c r="S134" s="11">
        <v>0.51041666666666663</v>
      </c>
      <c r="T134" s="113" t="s">
        <v>113</v>
      </c>
      <c r="U134" s="113" t="s">
        <v>390</v>
      </c>
      <c r="V134" s="113">
        <v>45</v>
      </c>
      <c r="W134" s="142">
        <v>4491554924</v>
      </c>
      <c r="X134" s="12"/>
      <c r="Y134" s="142">
        <v>4491554924</v>
      </c>
      <c r="Z134" s="142"/>
      <c r="AA134" s="142"/>
      <c r="AB134" s="13" t="s">
        <v>181</v>
      </c>
      <c r="AC134" s="25">
        <v>21167</v>
      </c>
      <c r="AD134" s="147">
        <f>IF(YEAR(Tabla2[[#This Row],[FECHA DE NACIMIENTO DEL ALUMNO]])&lt;&gt;1900,YEAR(Tabla2[[#This Row],[FECHA DE NACIMIENTO DEL ALUMNO]]),"")</f>
        <v>1957</v>
      </c>
      <c r="AE134" s="14">
        <v>345</v>
      </c>
      <c r="AF134" s="15"/>
      <c r="AG134" s="152"/>
      <c r="AH134" s="71">
        <v>638</v>
      </c>
      <c r="AI134" s="73"/>
      <c r="AJ134" s="19"/>
      <c r="AK134" s="71">
        <v>678</v>
      </c>
      <c r="AL134" s="236">
        <f>IF(Tabla2[[#This Row],[RECIBO ACTUAL]]=0,0,_xlfn.XLOOKUP(CONCATENATE(Tabla2[[#This Row],[CLASE]],Tabla2[[#This Row],[DURACIÓN]]),DevelupeMode!$P$4:$P$10,DevelupeMode!$Q$4:$Q$10,0))</f>
        <v>1490</v>
      </c>
      <c r="AM134" s="21" t="s">
        <v>554</v>
      </c>
      <c r="AN134" s="22"/>
      <c r="AO134">
        <f>_xlfn.XLOOKUP(Tabla2[[#This Row],[CURSO]],DevelupeMode!$T$4:$T$11,DevelupeMode!$U$4:$U$11,AO133+1)</f>
        <v>6</v>
      </c>
    </row>
    <row r="135" spans="2:42" ht="15" customHeight="1" x14ac:dyDescent="0.25">
      <c r="B135" s="206"/>
      <c r="C135" s="205">
        <f>IFERROR(IF(Tabla2[[#This Row],[Status]]="",0,IF(LEFT(Tabla2[[#This Row],[Status]],4)="Baja",C134,C134+1)),1)</f>
        <v>31</v>
      </c>
      <c r="D135" s="87" t="s">
        <v>19</v>
      </c>
      <c r="E135" s="87" t="str">
        <f>IF(AND(Tabla2[[#This Row],[RECIBO ACTUAL]]="",Tabla2[[#This Row],[Status]]="Activo"),"paguenmelaren","")</f>
        <v/>
      </c>
      <c r="F135" s="87"/>
      <c r="G135" s="182"/>
      <c r="H135" s="204" t="str">
        <f>IFERROR(CONCATENATE("AGS015",MID(Tabla2[[#This Row],[ALUMNO]],1,2),MID(Tabla2[[#This Row],[ALUMNO]],FIND(" ",Tabla2[[#This Row],[ALUMNO]],1)+1,2)),"Aguas")</f>
        <v>AGS015MaAl</v>
      </c>
      <c r="I135" s="7" t="s">
        <v>248</v>
      </c>
      <c r="J135" s="7">
        <f ca="1">IFERROR(YEAR(TODAY())-Tabla2[[#This Row],[año]],"")</f>
        <v>71</v>
      </c>
      <c r="K135" s="254" t="s">
        <v>83</v>
      </c>
      <c r="L135" s="9" t="s">
        <v>78</v>
      </c>
      <c r="M135" s="9">
        <v>4</v>
      </c>
      <c r="N135" s="24" t="s">
        <v>24</v>
      </c>
      <c r="O135" s="9" t="s">
        <v>445</v>
      </c>
      <c r="P135" s="9"/>
      <c r="Q135" s="9"/>
      <c r="R135" s="266" t="s">
        <v>612</v>
      </c>
      <c r="S135" s="11">
        <v>0.54166666666666663</v>
      </c>
      <c r="T135" s="113" t="s">
        <v>113</v>
      </c>
      <c r="U135" s="113" t="s">
        <v>390</v>
      </c>
      <c r="V135" s="113">
        <v>45</v>
      </c>
      <c r="W135" s="142">
        <v>4499407930</v>
      </c>
      <c r="X135" s="12" t="s">
        <v>22</v>
      </c>
      <c r="Y135" s="142"/>
      <c r="Z135" s="142"/>
      <c r="AA135" s="142"/>
      <c r="AB135" s="30" t="s">
        <v>90</v>
      </c>
      <c r="AC135" s="25">
        <v>20147</v>
      </c>
      <c r="AD135" s="147">
        <f>IF(YEAR(Tabla2[[#This Row],[FECHA DE NACIMIENTO DEL ALUMNO]])&lt;&gt;1900,YEAR(Tabla2[[#This Row],[FECHA DE NACIMIENTO DEL ALUMNO]]),"")</f>
        <v>1955</v>
      </c>
      <c r="AE135" s="14"/>
      <c r="AF135" s="15"/>
      <c r="AG135" s="152"/>
      <c r="AH135" s="71">
        <v>629</v>
      </c>
      <c r="AI135" s="73"/>
      <c r="AJ135" s="22"/>
      <c r="AK135" s="71">
        <v>675</v>
      </c>
      <c r="AL135" s="236">
        <f>IF(Tabla2[[#This Row],[RECIBO ACTUAL]]=0,0,_xlfn.XLOOKUP(CONCATENATE(Tabla2[[#This Row],[CLASE]],Tabla2[[#This Row],[DURACIÓN]]),DevelupeMode!$P$4:$P$10,DevelupeMode!$Q$4:$Q$10,0))</f>
        <v>1490</v>
      </c>
      <c r="AM135" s="21" t="s">
        <v>554</v>
      </c>
      <c r="AN135" s="22"/>
      <c r="AO135">
        <f>_xlfn.XLOOKUP(Tabla2[[#This Row],[CURSO]],DevelupeMode!$T$4:$T$11,DevelupeMode!$U$4:$U$11,AO134+1)</f>
        <v>6</v>
      </c>
    </row>
    <row r="136" spans="2:42" ht="15" hidden="1" customHeight="1" x14ac:dyDescent="0.25">
      <c r="B136" s="206"/>
      <c r="C136" s="205">
        <f>IFERROR(IF(Tabla2[[#This Row],[Status]]="",0,IF(LEFT(Tabla2[[#This Row],[Status]],4)="Baja",C135,C135+1)),1)</f>
        <v>31</v>
      </c>
      <c r="D136" s="87" t="s">
        <v>376</v>
      </c>
      <c r="E136" s="87" t="str">
        <f>IF(AND(Tabla2[[#This Row],[RECIBO ACTUAL]]="",Tabla2[[#This Row],[Status]]="Activo"),"paguenmelaren","")</f>
        <v/>
      </c>
      <c r="F136" s="87"/>
      <c r="G136" s="182">
        <v>45346</v>
      </c>
      <c r="H136" s="204" t="str">
        <f>IFERROR(CONCATENATE("AGS015",MID(Tabla2[[#This Row],[ALUMNO]],1,2),MID(Tabla2[[#This Row],[ALUMNO]],FIND(" ",Tabla2[[#This Row],[ALUMNO]],1)+1,2)),"Aguas")</f>
        <v>AGS015AlGa</v>
      </c>
      <c r="I136" s="7" t="s">
        <v>246</v>
      </c>
      <c r="J136" s="7">
        <f ca="1">IFERROR(YEAR(TODAY())-Tabla2[[#This Row],[año]],"")</f>
        <v>13</v>
      </c>
      <c r="K136" s="44" t="s">
        <v>145</v>
      </c>
      <c r="L136" s="24" t="s">
        <v>57</v>
      </c>
      <c r="M136" s="24"/>
      <c r="N136" s="24"/>
      <c r="O136" s="24" t="str">
        <f>IF(Tabla2[[#This Row],[MÉTODO]]="Yamaha","Royalty","")</f>
        <v/>
      </c>
      <c r="P136" s="24"/>
      <c r="Q136" s="24"/>
      <c r="R136" s="113" t="s">
        <v>35</v>
      </c>
      <c r="S136" s="58">
        <v>0.5</v>
      </c>
      <c r="T136" s="24" t="s">
        <v>25</v>
      </c>
      <c r="U136" s="24"/>
      <c r="V136" s="24">
        <v>50</v>
      </c>
      <c r="W136" s="24"/>
      <c r="X136" s="62" t="s">
        <v>69</v>
      </c>
      <c r="Y136" s="62" t="s">
        <v>70</v>
      </c>
      <c r="Z136" s="62"/>
      <c r="AA136" s="62"/>
      <c r="AB136" s="60" t="s">
        <v>71</v>
      </c>
      <c r="AC136" s="43">
        <v>41281</v>
      </c>
      <c r="AD136" s="147">
        <f>IF(YEAR(Tabla2[[#This Row],[FECHA DE NACIMIENTO DEL ALUMNO]])&lt;&gt;1900,YEAR(Tabla2[[#This Row],[FECHA DE NACIMIENTO DEL ALUMNO]]),"")</f>
        <v>2013</v>
      </c>
      <c r="AE136" s="59"/>
      <c r="AF136" s="61"/>
      <c r="AG136" s="59"/>
      <c r="AH136" s="17"/>
      <c r="AI136" s="59"/>
      <c r="AJ136" s="24"/>
      <c r="AK136" s="17"/>
      <c r="AL136" s="236">
        <f>IF(Tabla2[[#This Row],[RECIBO ACTUAL]]=0,0,_xlfn.XLOOKUP(CONCATENATE(Tabla2[[#This Row],[CLASE]],Tabla2[[#This Row],[DURACIÓN]]),DevelupeMode!$P$4:$P$10,DevelupeMode!$Q$4:$Q$10,0))</f>
        <v>0</v>
      </c>
      <c r="AM136" s="24"/>
      <c r="AN136" s="43"/>
      <c r="AO136">
        <f>_xlfn.XLOOKUP(Tabla2[[#This Row],[CURSO]],DevelupeMode!$T$4:$T$11,DevelupeMode!$U$4:$U$11,AO135+1)</f>
        <v>10</v>
      </c>
    </row>
    <row r="137" spans="2:42" ht="15" hidden="1" customHeight="1" x14ac:dyDescent="0.25">
      <c r="B137" s="206"/>
      <c r="C137" s="205">
        <f>IFERROR(IF(Tabla2[[#This Row],[Status]]="",0,IF(LEFT(Tabla2[[#This Row],[Status]],4)="Baja",C136,C136+1)),1)</f>
        <v>31</v>
      </c>
      <c r="D137" s="188" t="s">
        <v>148</v>
      </c>
      <c r="E137" s="88" t="str">
        <f>IF(AND(Tabla2[[#This Row],[RECIBO ACTUAL]]="",Tabla2[[#This Row],[Status]]="Activo"),"paguenmelaren","")</f>
        <v/>
      </c>
      <c r="F137" s="87"/>
      <c r="G137" s="182">
        <v>45888</v>
      </c>
      <c r="H137" s="204" t="str">
        <f>IFERROR(CONCATENATE("AGS015",MID(Tabla2[[#This Row],[ALUMNO]],1,2),MID(Tabla2[[#This Row],[ALUMNO]],FIND(" ",Tabla2[[#This Row],[ALUMNO]],1)+1,2)),"Aguas")</f>
        <v>AGS015PaEd</v>
      </c>
      <c r="I137" s="7" t="s">
        <v>535</v>
      </c>
      <c r="J137" s="104">
        <v>30</v>
      </c>
      <c r="K137" s="44" t="s">
        <v>145</v>
      </c>
      <c r="L137" s="158" t="s">
        <v>57</v>
      </c>
      <c r="M137" s="158">
        <v>10</v>
      </c>
      <c r="N137" s="158" t="s">
        <v>24</v>
      </c>
      <c r="O137" s="158" t="str">
        <f>IF(Tabla2[[#This Row],[MÉTODO]]="Yamaha","Royalty","")</f>
        <v>Royalty</v>
      </c>
      <c r="P137" s="24"/>
      <c r="Q137" s="24"/>
      <c r="R137" s="192" t="s">
        <v>58</v>
      </c>
      <c r="S137" s="58">
        <v>0.75</v>
      </c>
      <c r="T137" s="24" t="s">
        <v>334</v>
      </c>
      <c r="U137" s="24"/>
      <c r="V137" s="192">
        <v>50</v>
      </c>
      <c r="W137" s="24"/>
      <c r="X137" s="196"/>
      <c r="Y137" s="62"/>
      <c r="Z137" s="62"/>
      <c r="AA137" s="62"/>
      <c r="AB137" s="198"/>
      <c r="AC137" s="52">
        <v>34867</v>
      </c>
      <c r="AD137" s="209"/>
      <c r="AE137" s="59">
        <v>300</v>
      </c>
      <c r="AF137" s="41"/>
      <c r="AG137" s="20"/>
      <c r="AH137" s="71"/>
      <c r="AI137" s="73"/>
      <c r="AJ137" s="9"/>
      <c r="AK137" s="71"/>
      <c r="AL137" s="236">
        <f>IF(Tabla2[[#This Row],[RECIBO ACTUAL]]=0,0,_xlfn.XLOOKUP(CONCATENATE(Tabla2[[#This Row],[CLASE]],Tabla2[[#This Row],[DURACIÓN]]),DevelupeMode!$P$4:$P$10,DevelupeMode!$Q$4:$Q$10,0))</f>
        <v>0</v>
      </c>
      <c r="AM137" s="32"/>
      <c r="AN137" s="22"/>
      <c r="AO137">
        <f>_xlfn.XLOOKUP(Tabla2[[#This Row],[CURSO]],DevelupeMode!$T$4:$T$11,DevelupeMode!$U$4:$U$11,AO136+1)</f>
        <v>10</v>
      </c>
    </row>
    <row r="138" spans="2:42" ht="15" hidden="1" customHeight="1" x14ac:dyDescent="0.25">
      <c r="B138" s="206"/>
      <c r="C138" s="205">
        <f>IFERROR(IF(Tabla2[[#This Row],[Status]]="",0,IF(LEFT(Tabla2[[#This Row],[Status]],4)="Baja",C137,C137+1)),1)</f>
        <v>31</v>
      </c>
      <c r="D138" s="87" t="s">
        <v>148</v>
      </c>
      <c r="E138" s="87" t="str">
        <f>IF(AND(Tabla2[[#This Row],[RECIBO ACTUAL]]="",Tabla2[[#This Row],[Status]]="Activo"),"paguenmelaren","")</f>
        <v/>
      </c>
      <c r="F138" s="87"/>
      <c r="G138" s="183">
        <v>45528</v>
      </c>
      <c r="H138" s="204" t="str">
        <f>IFERROR(CONCATENATE("AGS015",MID(Tabla2[[#This Row],[ALUMNO]],1,2),MID(Tabla2[[#This Row],[ALUMNO]],FIND(" ",Tabla2[[#This Row],[ALUMNO]],1)+1,2)),"Aguas")</f>
        <v>AGS015AlMa</v>
      </c>
      <c r="I138" s="7" t="s">
        <v>367</v>
      </c>
      <c r="J138" s="7">
        <f ca="1">IFERROR(YEAR(TODAY())-Tabla2[[#This Row],[año]],"")</f>
        <v>17</v>
      </c>
      <c r="K138" s="44" t="s">
        <v>145</v>
      </c>
      <c r="L138" s="9" t="s">
        <v>57</v>
      </c>
      <c r="M138" s="9"/>
      <c r="N138" s="9"/>
      <c r="O138" s="9" t="str">
        <f>IF(Tabla2[[#This Row],[MÉTODO]]="Yamaha","Royalty","")</f>
        <v/>
      </c>
      <c r="P138" s="9"/>
      <c r="Q138" s="9"/>
      <c r="R138" s="113" t="s">
        <v>35</v>
      </c>
      <c r="S138" s="11">
        <v>0.54166666666666663</v>
      </c>
      <c r="T138" s="113" t="s">
        <v>334</v>
      </c>
      <c r="U138" s="113"/>
      <c r="V138" s="113">
        <v>50</v>
      </c>
      <c r="W138" s="142" t="s">
        <v>344</v>
      </c>
      <c r="X138" s="29" t="s">
        <v>277</v>
      </c>
      <c r="Y138" s="145" t="s">
        <v>343</v>
      </c>
      <c r="Z138" s="145"/>
      <c r="AA138" s="145"/>
      <c r="AB138" s="30"/>
      <c r="AC138" s="6">
        <v>39814</v>
      </c>
      <c r="AD138" s="147">
        <f>IF(YEAR(Tabla2[[#This Row],[FECHA DE NACIMIENTO DEL ALUMNO]])&lt;&gt;1900,YEAR(Tabla2[[#This Row],[FECHA DE NACIMIENTO DEL ALUMNO]]),"")</f>
        <v>2009</v>
      </c>
      <c r="AE138" s="20">
        <v>600</v>
      </c>
      <c r="AF138" s="41"/>
      <c r="AG138" s="153">
        <v>517</v>
      </c>
      <c r="AH138" s="24"/>
      <c r="AI138" s="26"/>
      <c r="AJ138" s="54"/>
      <c r="AK138" s="24"/>
      <c r="AL138" s="236">
        <f>IF(Tabla2[[#This Row],[RECIBO ACTUAL]]=0,0,_xlfn.XLOOKUP(CONCATENATE(Tabla2[[#This Row],[CLASE]],Tabla2[[#This Row],[DURACIÓN]]),DevelupeMode!$P$4:$P$10,DevelupeMode!$Q$4:$Q$10,0))</f>
        <v>0</v>
      </c>
      <c r="AM138" s="9"/>
      <c r="AN138" s="22"/>
      <c r="AO138">
        <f>_xlfn.XLOOKUP(Tabla2[[#This Row],[CURSO]],DevelupeMode!$T$4:$T$11,DevelupeMode!$U$4:$U$11,AO137+1)</f>
        <v>10</v>
      </c>
    </row>
    <row r="139" spans="2:42" ht="15" hidden="1" customHeight="1" x14ac:dyDescent="0.25">
      <c r="B139" s="206"/>
      <c r="C139" s="205">
        <f>IFERROR(IF(Tabla2[[#This Row],[Status]]="",0,IF(LEFT(Tabla2[[#This Row],[Status]],4)="Baja",C138,C138+1)),1)</f>
        <v>31</v>
      </c>
      <c r="D139" s="87" t="s">
        <v>148</v>
      </c>
      <c r="E139" s="87" t="str">
        <f>IF(AND(Tabla2[[#This Row],[RECIBO ACTUAL]]="",Tabla2[[#This Row],[Status]]="Activo"),"paguenmelaren","")</f>
        <v/>
      </c>
      <c r="F139" s="87"/>
      <c r="G139" s="183">
        <v>45675</v>
      </c>
      <c r="H139" s="204" t="str">
        <f>IFERROR(CONCATENATE("AGS015",MID(Tabla2[[#This Row],[ALUMNO]],1,2),MID(Tabla2[[#This Row],[ALUMNO]],FIND(" ",Tabla2[[#This Row],[ALUMNO]],1)+1,2)),"Aguas")</f>
        <v>AGS015MaMe</v>
      </c>
      <c r="I139" s="104" t="s">
        <v>443</v>
      </c>
      <c r="J139" s="7">
        <f ca="1">IFERROR(YEAR(TODAY())-Tabla2[[#This Row],[año]],"")</f>
        <v>22</v>
      </c>
      <c r="K139" s="44" t="s">
        <v>145</v>
      </c>
      <c r="L139" s="9" t="s">
        <v>57</v>
      </c>
      <c r="M139" s="32">
        <v>10</v>
      </c>
      <c r="N139" s="23" t="s">
        <v>24</v>
      </c>
      <c r="O139" s="23"/>
      <c r="P139" s="23"/>
      <c r="Q139" s="23"/>
      <c r="R139" s="113" t="s">
        <v>35</v>
      </c>
      <c r="S139" s="11">
        <v>0.5</v>
      </c>
      <c r="T139" s="113" t="s">
        <v>334</v>
      </c>
      <c r="U139" s="113"/>
      <c r="V139" s="112">
        <v>50</v>
      </c>
      <c r="W139" s="144">
        <v>4493947865</v>
      </c>
      <c r="X139" s="50"/>
      <c r="Y139" s="146"/>
      <c r="Z139" s="146"/>
      <c r="AA139" s="146"/>
      <c r="AB139" s="51"/>
      <c r="AC139" s="52">
        <v>37987</v>
      </c>
      <c r="AD139" s="147">
        <f>IF(YEAR(Tabla2[[#This Row],[FECHA DE NACIMIENTO DEL ALUMNO]])&lt;&gt;1900,YEAR(Tabla2[[#This Row],[FECHA DE NACIMIENTO DEL ALUMNO]]),"")</f>
        <v>2004</v>
      </c>
      <c r="AE139" s="73"/>
      <c r="AF139" s="23"/>
      <c r="AG139" s="18"/>
      <c r="AH139" s="71"/>
      <c r="AI139" s="73"/>
      <c r="AJ139" s="23"/>
      <c r="AK139" s="71"/>
      <c r="AL139" s="236">
        <f>IF(Tabla2[[#This Row],[RECIBO ACTUAL]]=0,0,_xlfn.XLOOKUP(CONCATENATE(Tabla2[[#This Row],[CLASE]],Tabla2[[#This Row],[DURACIÓN]]),DevelupeMode!$P$4:$P$10,DevelupeMode!$Q$4:$Q$10,0))</f>
        <v>0</v>
      </c>
      <c r="AM139" s="32"/>
      <c r="AN139" s="23"/>
      <c r="AO139">
        <f>_xlfn.XLOOKUP(Tabla2[[#This Row],[CURSO]],DevelupeMode!$T$4:$T$11,DevelupeMode!$U$4:$U$11,AO138+1)</f>
        <v>10</v>
      </c>
    </row>
    <row r="140" spans="2:42" ht="15" hidden="1" customHeight="1" x14ac:dyDescent="0.25">
      <c r="B140" s="206"/>
      <c r="C140" s="205">
        <f>IFERROR(IF(Tabla2[[#This Row],[Status]]="",0,IF(LEFT(Tabla2[[#This Row],[Status]],4)="Baja",C139,C139+1)),1)</f>
        <v>31</v>
      </c>
      <c r="D140" s="87" t="s">
        <v>148</v>
      </c>
      <c r="E140" s="87" t="str">
        <f>IF(AND(Tabla2[[#This Row],[RECIBO ACTUAL]]="",Tabla2[[#This Row],[Status]]="Activo"),"paguenmelaren","")</f>
        <v/>
      </c>
      <c r="F140" s="87"/>
      <c r="G140" s="182">
        <v>45416</v>
      </c>
      <c r="H140" s="204" t="str">
        <f>IFERROR(CONCATENATE("AGS015",MID(Tabla2[[#This Row],[ALUMNO]],1,2),MID(Tabla2[[#This Row],[ALUMNO]],FIND(" ",Tabla2[[#This Row],[ALUMNO]],1)+1,2)),"Aguas")</f>
        <v>AGS015LuHi</v>
      </c>
      <c r="I140" s="7" t="s">
        <v>166</v>
      </c>
      <c r="J140" s="7">
        <f ca="1">IFERROR(YEAR(TODAY())-Tabla2[[#This Row],[año]],"")</f>
        <v>18</v>
      </c>
      <c r="K140" s="44" t="s">
        <v>145</v>
      </c>
      <c r="L140" s="9" t="s">
        <v>57</v>
      </c>
      <c r="M140" s="9">
        <v>10</v>
      </c>
      <c r="N140" s="9" t="s">
        <v>24</v>
      </c>
      <c r="O140" s="9"/>
      <c r="P140" s="9"/>
      <c r="Q140" s="9"/>
      <c r="R140" s="113" t="s">
        <v>35</v>
      </c>
      <c r="S140" s="11">
        <v>0.5</v>
      </c>
      <c r="T140" s="113" t="s">
        <v>334</v>
      </c>
      <c r="U140" s="113"/>
      <c r="V140" s="113">
        <v>50</v>
      </c>
      <c r="W140" s="142">
        <v>4491134282</v>
      </c>
      <c r="X140" s="29" t="s">
        <v>75</v>
      </c>
      <c r="Y140" s="145"/>
      <c r="Z140" s="145"/>
      <c r="AA140" s="145"/>
      <c r="AB140" s="30" t="s">
        <v>76</v>
      </c>
      <c r="AC140" s="6">
        <v>39587</v>
      </c>
      <c r="AD140" s="147">
        <f>IF(YEAR(Tabla2[[#This Row],[FECHA DE NACIMIENTO DEL ALUMNO]])&lt;&gt;1900,YEAR(Tabla2[[#This Row],[FECHA DE NACIMIENTO DEL ALUMNO]]),"")</f>
        <v>2008</v>
      </c>
      <c r="AE140" s="20"/>
      <c r="AF140" s="41"/>
      <c r="AG140" s="21"/>
      <c r="AH140" s="71"/>
      <c r="AI140" s="73"/>
      <c r="AJ140" s="54"/>
      <c r="AK140" s="71"/>
      <c r="AL140" s="236">
        <f>IF(Tabla2[[#This Row],[RECIBO ACTUAL]]=0,0,_xlfn.XLOOKUP(CONCATENATE(Tabla2[[#This Row],[CLASE]],Tabla2[[#This Row],[DURACIÓN]]),DevelupeMode!$P$4:$P$10,DevelupeMode!$Q$4:$Q$10,0))</f>
        <v>0</v>
      </c>
      <c r="AM140" s="9"/>
      <c r="AN140" s="22"/>
      <c r="AO140">
        <f>_xlfn.XLOOKUP(Tabla2[[#This Row],[CURSO]],DevelupeMode!$T$4:$T$11,DevelupeMode!$U$4:$U$11,AO139+1)</f>
        <v>10</v>
      </c>
    </row>
    <row r="141" spans="2:42" ht="15" customHeight="1" x14ac:dyDescent="0.25">
      <c r="B141" s="216"/>
      <c r="C141" s="205">
        <f>IFERROR(IF(Tabla2[[#This Row],[Status]]="",0,IF(LEFT(Tabla2[[#This Row],[Status]],4)="Baja",C140,C140+1)),1)</f>
        <v>32</v>
      </c>
      <c r="D141" s="87" t="s">
        <v>19</v>
      </c>
      <c r="E141" s="87" t="str">
        <f>IF(AND(Tabla2[[#This Row],[RECIBO ACTUAL]]="",Tabla2[[#This Row],[Status]]="Activo"),"paguenmelaren","")</f>
        <v/>
      </c>
      <c r="F141" s="87"/>
      <c r="G141" s="182">
        <v>45650</v>
      </c>
      <c r="H141" s="204" t="str">
        <f>IFERROR(CONCATENATE("AGS015",MID(Tabla2[[#This Row],[ALUMNO]],1,2),MID(Tabla2[[#This Row],[ALUMNO]],FIND(" ",Tabla2[[#This Row],[ALUMNO]],1)+1,2)),"Aguas")</f>
        <v>AGS015FePé</v>
      </c>
      <c r="I141" s="7" t="s">
        <v>163</v>
      </c>
      <c r="J141" s="7">
        <f ca="1">IFERROR(YEAR(TODAY())-Tabla2[[#This Row],[año]],"")</f>
        <v>10</v>
      </c>
      <c r="K141" s="254" t="s">
        <v>83</v>
      </c>
      <c r="L141" s="9" t="s">
        <v>78</v>
      </c>
      <c r="M141" s="9"/>
      <c r="N141" s="9" t="s">
        <v>446</v>
      </c>
      <c r="O141" s="9"/>
      <c r="P141" s="9"/>
      <c r="Q141" s="9"/>
      <c r="R141" s="113" t="s">
        <v>612</v>
      </c>
      <c r="S141" s="11">
        <v>0.70833333333333337</v>
      </c>
      <c r="T141" s="113" t="s">
        <v>334</v>
      </c>
      <c r="U141" s="113" t="s">
        <v>390</v>
      </c>
      <c r="V141" s="113">
        <v>50</v>
      </c>
      <c r="W141" s="144"/>
      <c r="X141" s="12" t="s">
        <v>92</v>
      </c>
      <c r="Y141" s="142">
        <v>4492032040</v>
      </c>
      <c r="Z141" s="142" t="s">
        <v>399</v>
      </c>
      <c r="AA141" s="142" t="s">
        <v>400</v>
      </c>
      <c r="AB141" s="13" t="s">
        <v>93</v>
      </c>
      <c r="AC141" s="25">
        <v>42376</v>
      </c>
      <c r="AD141" s="147">
        <f>IF(YEAR(Tabla2[[#This Row],[FECHA DE NACIMIENTO DEL ALUMNO]])&lt;&gt;1900,YEAR(Tabla2[[#This Row],[FECHA DE NACIMIENTO DEL ALUMNO]]),"")</f>
        <v>2016</v>
      </c>
      <c r="AE141" s="14"/>
      <c r="AF141" s="15"/>
      <c r="AG141" s="152"/>
      <c r="AH141" s="71">
        <v>628</v>
      </c>
      <c r="AI141" s="73"/>
      <c r="AJ141" s="19"/>
      <c r="AK141" s="71">
        <v>679</v>
      </c>
      <c r="AL141" s="236">
        <f>IF(Tabla2[[#This Row],[RECIBO ACTUAL]]=0,0,_xlfn.XLOOKUP(CONCATENATE(Tabla2[[#This Row],[CLASE]],Tabla2[[#This Row],[DURACIÓN]]),DevelupeMode!$P$4:$P$10,DevelupeMode!$Q$4:$Q$10,0))</f>
        <v>1100</v>
      </c>
      <c r="AM141" s="21" t="s">
        <v>554</v>
      </c>
      <c r="AN141" s="22"/>
      <c r="AO141">
        <f>_xlfn.XLOOKUP(Tabla2[[#This Row],[CURSO]],DevelupeMode!$T$4:$T$11,DevelupeMode!$U$4:$U$11,AO140+1)</f>
        <v>6</v>
      </c>
      <c r="AP141" s="81"/>
    </row>
    <row r="142" spans="2:42" ht="15" hidden="1" customHeight="1" x14ac:dyDescent="0.25">
      <c r="B142" s="206"/>
      <c r="C142" s="205">
        <f>IFERROR(IF(Tabla2[[#This Row],[Status]]="",0,IF(LEFT(Tabla2[[#This Row],[Status]],4)="Baja",C141,C141+1)),1)</f>
        <v>32</v>
      </c>
      <c r="D142" s="234" t="s">
        <v>148</v>
      </c>
      <c r="E142" s="88" t="str">
        <f>IF(AND(Tabla2[[#This Row],[RECIBO ACTUAL]]="",Tabla2[[#This Row],[Status]]="Activo"),"paguenmelaren","")</f>
        <v/>
      </c>
      <c r="F142" s="141"/>
      <c r="G142" s="250">
        <v>45931</v>
      </c>
      <c r="H142" s="204" t="str">
        <f>IFERROR(CONCATENATE("AGS015",MID(Tabla2[[#This Row],[ALUMNO]],1,2),MID(Tabla2[[#This Row],[ALUMNO]],FIND(" ",Tabla2[[#This Row],[ALUMNO]],1)+1,2)),"Aguas")</f>
        <v>AGS015RoTo</v>
      </c>
      <c r="I142" s="189" t="s">
        <v>538</v>
      </c>
      <c r="J142" s="104">
        <v>13</v>
      </c>
      <c r="K142" s="44" t="s">
        <v>145</v>
      </c>
      <c r="L142" s="9" t="s">
        <v>57</v>
      </c>
      <c r="M142" s="23"/>
      <c r="N142" s="23"/>
      <c r="O142" s="190" t="str">
        <f>IF(Tabla2[[#This Row],[MÉTODO]]="Yamaha","Royalty","")</f>
        <v/>
      </c>
      <c r="P142" s="190"/>
      <c r="Q142" s="190"/>
      <c r="R142" s="112" t="s">
        <v>35</v>
      </c>
      <c r="S142" s="191">
        <v>0.5</v>
      </c>
      <c r="T142" s="113" t="s">
        <v>334</v>
      </c>
      <c r="U142" s="113"/>
      <c r="V142" s="193">
        <v>50</v>
      </c>
      <c r="W142" s="194"/>
      <c r="X142" s="197" t="s">
        <v>539</v>
      </c>
      <c r="Y142" s="195" t="s">
        <v>541</v>
      </c>
      <c r="Z142" s="195" t="s">
        <v>540</v>
      </c>
      <c r="AA142" s="195" t="s">
        <v>542</v>
      </c>
      <c r="AB142" s="199"/>
      <c r="AC142" s="200"/>
      <c r="AD142" s="209" t="str">
        <f>IF(YEAR(Tabla2[[#This Row],[FECHA DE NACIMIENTO DEL ALUMNO]])&lt;&gt;1900,YEAR(Tabla2[[#This Row],[FECHA DE NACIMIENTO DEL ALUMNO]]),"")</f>
        <v/>
      </c>
      <c r="AE142" s="251">
        <v>600</v>
      </c>
      <c r="AF142" s="190"/>
      <c r="AG142" s="252"/>
      <c r="AH142" s="202"/>
      <c r="AI142" s="201"/>
      <c r="AJ142" s="190"/>
      <c r="AK142" s="202"/>
      <c r="AL142" s="236">
        <f>IF(Tabla2[[#This Row],[RECIBO ACTUAL]]=0,0,_xlfn.XLOOKUP(CONCATENATE(Tabla2[[#This Row],[CLASE]],Tabla2[[#This Row],[DURACIÓN]]),DevelupeMode!$P$4:$P$10,DevelupeMode!$Q$4:$Q$10,0))</f>
        <v>0</v>
      </c>
      <c r="AM142" s="203"/>
      <c r="AN142" s="190"/>
      <c r="AO142">
        <f>_xlfn.XLOOKUP(Tabla2[[#This Row],[CURSO]],DevelupeMode!$T$4:$T$11,DevelupeMode!$U$4:$U$11,AO141+1)</f>
        <v>10</v>
      </c>
    </row>
    <row r="143" spans="2:42" ht="15" hidden="1" customHeight="1" x14ac:dyDescent="0.25">
      <c r="B143" s="216"/>
      <c r="C143" s="205">
        <f>IFERROR(IF(Tabla2[[#This Row],[Status]]="",0,IF(LEFT(Tabla2[[#This Row],[Status]],4)="Baja",C142,C142+1)),1)</f>
        <v>32</v>
      </c>
      <c r="D143" s="87" t="s">
        <v>148</v>
      </c>
      <c r="E143" s="87" t="str">
        <f>IF(AND(Tabla2[[#This Row],[RECIBO ACTUAL]]="",Tabla2[[#This Row],[Status]]="Activo"),"paguenmelaren","")</f>
        <v/>
      </c>
      <c r="F143" s="141">
        <v>-1</v>
      </c>
      <c r="G143" s="186">
        <v>45374</v>
      </c>
      <c r="H143" s="204" t="str">
        <f>IFERROR(CONCATENATE("AGS015",MID(Tabla2[[#This Row],[ALUMNO]],1,2),MID(Tabla2[[#This Row],[ALUMNO]],FIND(" ",Tabla2[[#This Row],[ALUMNO]],1)+1,2)),"Aguas")</f>
        <v>AGS015FlSe</v>
      </c>
      <c r="I143" s="187" t="s">
        <v>152</v>
      </c>
      <c r="J143" s="7">
        <f ca="1">IFERROR(YEAR(TODAY())-Tabla2[[#This Row],[año]],"")</f>
        <v>11</v>
      </c>
      <c r="K143" s="36" t="s">
        <v>41</v>
      </c>
      <c r="L143" s="9" t="s">
        <v>42</v>
      </c>
      <c r="M143" s="9">
        <v>10</v>
      </c>
      <c r="N143" s="24" t="s">
        <v>24</v>
      </c>
      <c r="O143" s="239"/>
      <c r="P143" s="239"/>
      <c r="Q143" s="239"/>
      <c r="R143" s="113" t="s">
        <v>35</v>
      </c>
      <c r="S143" s="241">
        <v>0.5</v>
      </c>
      <c r="T143" s="113" t="s">
        <v>334</v>
      </c>
      <c r="U143" s="113"/>
      <c r="V143" s="242">
        <v>50</v>
      </c>
      <c r="W143" s="243">
        <v>4659555117</v>
      </c>
      <c r="X143" s="269">
        <v>1</v>
      </c>
      <c r="Y143" s="243">
        <v>4659555117</v>
      </c>
      <c r="Z143" s="243" t="s">
        <v>327</v>
      </c>
      <c r="AA143" s="243"/>
      <c r="AB143" s="271" t="s">
        <v>53</v>
      </c>
      <c r="AC143" s="270">
        <v>42275</v>
      </c>
      <c r="AD143" s="147">
        <f>IF(YEAR(Tabla2[[#This Row],[FECHA DE NACIMIENTO DEL ALUMNO]])&lt;&gt;1900,YEAR(Tabla2[[#This Row],[FECHA DE NACIMIENTO DEL ALUMNO]]),"")</f>
        <v>2015</v>
      </c>
      <c r="AE143" s="246"/>
      <c r="AF143" s="239"/>
      <c r="AG143" s="247"/>
      <c r="AH143" s="272"/>
      <c r="AI143" s="273"/>
      <c r="AJ143" s="239"/>
      <c r="AK143" s="272"/>
      <c r="AL143" s="236">
        <f>IF(Tabla2[[#This Row],[RECIBO ACTUAL]]=0,0,_xlfn.XLOOKUP(CONCATENATE(Tabla2[[#This Row],[CLASE]],Tabla2[[#This Row],[DURACIÓN]]),DevelupeMode!$P$4:$P$10,DevelupeMode!$Q$4:$Q$10,0))</f>
        <v>0</v>
      </c>
      <c r="AM143" s="21" t="s">
        <v>56</v>
      </c>
      <c r="AN143" s="239"/>
      <c r="AO143">
        <f>_xlfn.XLOOKUP(Tabla2[[#This Row],[CURSO]],DevelupeMode!$T$4:$T$11,DevelupeMode!$U$4:$U$11,AO142+1)</f>
        <v>4</v>
      </c>
      <c r="AP143" s="81"/>
    </row>
    <row r="144" spans="2:42" ht="15" customHeight="1" x14ac:dyDescent="0.25">
      <c r="B144" s="216"/>
      <c r="C144" s="205">
        <f>IFERROR(IF(Tabla2[[#This Row],[Status]]="",0,IF(LEFT(Tabla2[[#This Row],[Status]],4)="Baja",C143,C143+1)),1)</f>
        <v>33</v>
      </c>
      <c r="D144" s="87" t="s">
        <v>19</v>
      </c>
      <c r="E144" s="87" t="str">
        <f>IF(AND(Tabla2[[#This Row],[RECIBO ACTUAL]]="",Tabla2[[#This Row],[Status]]="Activo"),"paguenmelaren","")</f>
        <v/>
      </c>
      <c r="F144" s="87"/>
      <c r="G144" s="182">
        <v>45375</v>
      </c>
      <c r="H144" s="204" t="str">
        <f>IFERROR(CONCATENATE("AGS015",MID(Tabla2[[#This Row],[ALUMNO]],1,2),MID(Tabla2[[#This Row],[ALUMNO]],FIND(" ",Tabla2[[#This Row],[ALUMNO]],1)+1,2)),"Aguas")</f>
        <v>AGS015SeAl</v>
      </c>
      <c r="I144" s="7" t="s">
        <v>153</v>
      </c>
      <c r="J144" s="7">
        <f ca="1">IFERROR(YEAR(TODAY())-Tabla2[[#This Row],[año]],"")</f>
        <v>26</v>
      </c>
      <c r="K144" s="254" t="s">
        <v>83</v>
      </c>
      <c r="L144" s="9" t="s">
        <v>78</v>
      </c>
      <c r="M144" s="9"/>
      <c r="N144" s="9"/>
      <c r="O144" s="9"/>
      <c r="P144" s="9"/>
      <c r="Q144" s="9"/>
      <c r="R144" s="266" t="s">
        <v>612</v>
      </c>
      <c r="S144" s="11">
        <v>0.73958333333333337</v>
      </c>
      <c r="T144" s="113" t="s">
        <v>113</v>
      </c>
      <c r="U144" s="113" t="s">
        <v>390</v>
      </c>
      <c r="V144" s="113">
        <v>45</v>
      </c>
      <c r="W144" s="142">
        <v>4499062594</v>
      </c>
      <c r="X144" s="12" t="s">
        <v>22</v>
      </c>
      <c r="Y144" s="142"/>
      <c r="Z144" s="142"/>
      <c r="AA144" s="142"/>
      <c r="AB144" s="13"/>
      <c r="AC144" s="25">
        <v>36526</v>
      </c>
      <c r="AD144" s="147">
        <f>IF(YEAR(Tabla2[[#This Row],[FECHA DE NACIMIENTO DEL ALUMNO]])&lt;&gt;1900,YEAR(Tabla2[[#This Row],[FECHA DE NACIMIENTO DEL ALUMNO]]),"")</f>
        <v>2000</v>
      </c>
      <c r="AE144" s="14"/>
      <c r="AF144" s="15" t="s">
        <v>119</v>
      </c>
      <c r="AG144" s="152"/>
      <c r="AH144" s="71">
        <v>653</v>
      </c>
      <c r="AI144" s="73"/>
      <c r="AJ144" s="19"/>
      <c r="AK144" s="71">
        <v>761</v>
      </c>
      <c r="AL144" s="236">
        <f>IF(Tabla2[[#This Row],[RECIBO ACTUAL]]=0,0,_xlfn.XLOOKUP(CONCATENATE(Tabla2[[#This Row],[CLASE]],Tabla2[[#This Row],[DURACIÓN]]),DevelupeMode!$P$4:$P$10,DevelupeMode!$Q$4:$Q$10,0))</f>
        <v>1490</v>
      </c>
      <c r="AM144" s="21" t="s">
        <v>564</v>
      </c>
      <c r="AN144" s="22"/>
      <c r="AO144">
        <f>_xlfn.XLOOKUP(Tabla2[[#This Row],[CURSO]],DevelupeMode!$T$4:$T$11,DevelupeMode!$U$4:$U$11,AO143+1)</f>
        <v>6</v>
      </c>
      <c r="AP144" s="81"/>
    </row>
    <row r="145" spans="1:42" ht="15" hidden="1" customHeight="1" x14ac:dyDescent="0.25">
      <c r="B145" s="206"/>
      <c r="C145" s="205">
        <f>IFERROR(IF(Tabla2[[#This Row],[Status]]="",0,IF(LEFT(Tabla2[[#This Row],[Status]],4)="Baja",C144,C144+1)),1)</f>
        <v>33</v>
      </c>
      <c r="D145" s="88" t="s">
        <v>148</v>
      </c>
      <c r="E145" s="87" t="str">
        <f>IF(AND(Tabla2[[#This Row],[RECIBO ACTUAL]]="",Tabla2[[#This Row],[Status]]="Activo"),"paguenmelaren","")</f>
        <v/>
      </c>
      <c r="F145" s="87"/>
      <c r="G145" s="184">
        <v>45444</v>
      </c>
      <c r="H145" s="204" t="str">
        <f>IFERROR(CONCATENATE("AGS015",MID(Tabla2[[#This Row],[ALUMNO]],1,2),MID(Tabla2[[#This Row],[ALUMNO]],FIND(" ",Tabla2[[#This Row],[ALUMNO]],1)+1,2)),"Aguas")</f>
        <v>AGS015SoGu</v>
      </c>
      <c r="I145" s="104" t="s">
        <v>202</v>
      </c>
      <c r="J145" s="7">
        <f ca="1">IFERROR(YEAR(TODAY())-Tabla2[[#This Row],[año]],"")</f>
        <v>10</v>
      </c>
      <c r="K145" s="77" t="s">
        <v>529</v>
      </c>
      <c r="L145" s="23" t="s">
        <v>352</v>
      </c>
      <c r="M145" s="23"/>
      <c r="N145" s="23"/>
      <c r="O145" s="23"/>
      <c r="P145" s="23"/>
      <c r="Q145" s="23"/>
      <c r="R145" s="113" t="s">
        <v>58</v>
      </c>
      <c r="S145" s="70">
        <v>0.72916666666666663</v>
      </c>
      <c r="T145" s="113" t="s">
        <v>113</v>
      </c>
      <c r="U145" s="113" t="s">
        <v>390</v>
      </c>
      <c r="V145" s="112">
        <v>45</v>
      </c>
      <c r="W145" s="146"/>
      <c r="X145" s="50" t="s">
        <v>105</v>
      </c>
      <c r="Y145" s="144">
        <v>4491123817</v>
      </c>
      <c r="Z145" s="144"/>
      <c r="AA145" s="144"/>
      <c r="AB145" s="51" t="s">
        <v>106</v>
      </c>
      <c r="AC145" s="52">
        <v>42636</v>
      </c>
      <c r="AD145" s="147">
        <f>IF(YEAR(Tabla2[[#This Row],[FECHA DE NACIMIENTO DEL ALUMNO]])&lt;&gt;1900,YEAR(Tabla2[[#This Row],[FECHA DE NACIMIENTO DEL ALUMNO]]),"")</f>
        <v>2016</v>
      </c>
      <c r="AE145" s="67">
        <v>600</v>
      </c>
      <c r="AF145" s="23" t="s">
        <v>107</v>
      </c>
      <c r="AG145" s="155">
        <v>300</v>
      </c>
      <c r="AH145" s="71"/>
      <c r="AI145" s="73"/>
      <c r="AJ145" s="23"/>
      <c r="AK145" s="71"/>
      <c r="AL145" s="236">
        <f>IF(Tabla2[[#This Row],[RECIBO ACTUAL]]=0,0,_xlfn.XLOOKUP(CONCATENATE(Tabla2[[#This Row],[CLASE]],Tabla2[[#This Row],[DURACIÓN]]),DevelupeMode!$P$4:$P$10,DevelupeMode!$Q$4:$Q$10,0))</f>
        <v>0</v>
      </c>
      <c r="AM145" s="32"/>
      <c r="AN145" s="23"/>
      <c r="AO145">
        <f>_xlfn.XLOOKUP(Tabla2[[#This Row],[CURSO]],DevelupeMode!$T$4:$T$11,DevelupeMode!$U$4:$U$11,AO144+1)</f>
        <v>7</v>
      </c>
    </row>
    <row r="146" spans="1:42" ht="15" hidden="1" customHeight="1" x14ac:dyDescent="0.25">
      <c r="B146" s="206"/>
      <c r="C146" s="205">
        <f>IFERROR(IF(Tabla2[[#This Row],[Status]]="",0,IF(LEFT(Tabla2[[#This Row],[Status]],4)="Baja",C145,C145+1)),1)</f>
        <v>33</v>
      </c>
      <c r="D146" s="88" t="s">
        <v>148</v>
      </c>
      <c r="E146" s="87" t="str">
        <f>IF(AND(Tabla2[[#This Row],[RECIBO ACTUAL]]="",Tabla2[[#This Row],[Status]]="Activo"),"paguenmelaren","")</f>
        <v/>
      </c>
      <c r="F146" s="87"/>
      <c r="G146" s="183">
        <v>45528</v>
      </c>
      <c r="H146" s="204" t="str">
        <f>IFERROR(CONCATENATE("AGS015",MID(Tabla2[[#This Row],[ALUMNO]],1,2),MID(Tabla2[[#This Row],[ALUMNO]],FIND(" ",Tabla2[[#This Row],[ALUMNO]],1)+1,2)),"Aguas")</f>
        <v>AGS015ClEs</v>
      </c>
      <c r="I146" s="104" t="s">
        <v>349</v>
      </c>
      <c r="J146" s="7">
        <f ca="1">IFERROR(YEAR(TODAY())-Tabla2[[#This Row],[año]],"")</f>
        <v>13</v>
      </c>
      <c r="K146" s="77" t="s">
        <v>529</v>
      </c>
      <c r="L146" s="190" t="s">
        <v>352</v>
      </c>
      <c r="M146" s="212"/>
      <c r="N146" s="212"/>
      <c r="O146" s="212"/>
      <c r="P146" s="23"/>
      <c r="Q146" s="23"/>
      <c r="R146" s="176" t="s">
        <v>58</v>
      </c>
      <c r="S146" s="70">
        <v>0.76041666666666663</v>
      </c>
      <c r="T146" s="113" t="s">
        <v>113</v>
      </c>
      <c r="U146" s="113" t="s">
        <v>390</v>
      </c>
      <c r="V146" s="192">
        <v>45</v>
      </c>
      <c r="W146" s="144"/>
      <c r="X146" s="196" t="s">
        <v>351</v>
      </c>
      <c r="Y146" s="146" t="s">
        <v>350</v>
      </c>
      <c r="Z146" s="146"/>
      <c r="AA146" s="146"/>
      <c r="AB146" s="51"/>
      <c r="AC146" s="52">
        <v>41275</v>
      </c>
      <c r="AD146" s="147">
        <f>IF(YEAR(Tabla2[[#This Row],[FECHA DE NACIMIENTO DEL ALUMNO]])&lt;&gt;1900,YEAR(Tabla2[[#This Row],[FECHA DE NACIMIENTO DEL ALUMNO]]),"")</f>
        <v>2013</v>
      </c>
      <c r="AE146" s="73">
        <v>600</v>
      </c>
      <c r="AF146" s="23"/>
      <c r="AG146" s="155"/>
      <c r="AH146" s="71"/>
      <c r="AI146" s="73"/>
      <c r="AJ146" s="23"/>
      <c r="AK146" s="71"/>
      <c r="AL146" s="236">
        <f>IF(Tabla2[[#This Row],[RECIBO ACTUAL]]=0,0,_xlfn.XLOOKUP(CONCATENATE(Tabla2[[#This Row],[CLASE]],Tabla2[[#This Row],[DURACIÓN]]),DevelupeMode!$P$4:$P$10,DevelupeMode!$Q$4:$Q$10,0))</f>
        <v>0</v>
      </c>
      <c r="AM146" s="32"/>
      <c r="AN146" s="23"/>
      <c r="AO146">
        <f>_xlfn.XLOOKUP(Tabla2[[#This Row],[CURSO]],DevelupeMode!$T$4:$T$11,DevelupeMode!$U$4:$U$11,AO145+1)</f>
        <v>8</v>
      </c>
    </row>
    <row r="147" spans="1:42" ht="15" hidden="1" customHeight="1" x14ac:dyDescent="0.25">
      <c r="B147" s="206"/>
      <c r="C147" s="205">
        <f>IFERROR(IF(Tabla2[[#This Row],[Status]]="",0,IF(LEFT(Tabla2[[#This Row],[Status]],4)="Baja",C146,C146+1)),1)</f>
        <v>33</v>
      </c>
      <c r="D147" s="234" t="s">
        <v>148</v>
      </c>
      <c r="E147" s="88" t="str">
        <f>IF(AND(Tabla2[[#This Row],[RECIBO ACTUAL]]="",Tabla2[[#This Row],[Status]]="Activo"),"paguenmelaren","")</f>
        <v/>
      </c>
      <c r="F147" s="87"/>
      <c r="G147" s="183">
        <v>45888</v>
      </c>
      <c r="H147" s="204" t="str">
        <f>IFERROR(CONCATENATE("AGS015",MID(Tabla2[[#This Row],[ALUMNO]],1,2),MID(Tabla2[[#This Row],[ALUMNO]],FIND(" ",Tabla2[[#This Row],[ALUMNO]],1)+1,2)),"Aguas")</f>
        <v>AGS015GaPe</v>
      </c>
      <c r="I147" s="104" t="s">
        <v>534</v>
      </c>
      <c r="J147" s="104">
        <v>31</v>
      </c>
      <c r="K147" s="77" t="s">
        <v>536</v>
      </c>
      <c r="L147" s="32" t="s">
        <v>352</v>
      </c>
      <c r="M147" s="212"/>
      <c r="N147" s="212"/>
      <c r="O147" s="212" t="str">
        <f>IF(Tabla2[[#This Row],[MÉTODO]]="Yamaha","Royalty","")</f>
        <v/>
      </c>
      <c r="P147" s="23"/>
      <c r="Q147" s="23"/>
      <c r="R147" s="192" t="s">
        <v>58</v>
      </c>
      <c r="S147" s="70">
        <v>0.75</v>
      </c>
      <c r="T147" s="113" t="s">
        <v>113</v>
      </c>
      <c r="U147" s="113"/>
      <c r="V147" s="192">
        <v>45</v>
      </c>
      <c r="W147" s="144"/>
      <c r="X147" s="196"/>
      <c r="Y147" s="146"/>
      <c r="Z147" s="146"/>
      <c r="AA147" s="146"/>
      <c r="AB147" s="198"/>
      <c r="AC147" s="209">
        <v>34501</v>
      </c>
      <c r="AD147" s="52"/>
      <c r="AE147" s="73">
        <v>300</v>
      </c>
      <c r="AF147" s="23"/>
      <c r="AG147" s="18"/>
      <c r="AH147" s="71"/>
      <c r="AI147" s="73"/>
      <c r="AJ147" s="23"/>
      <c r="AK147" s="71"/>
      <c r="AL147" s="236">
        <f>IF(Tabla2[[#This Row],[RECIBO ACTUAL]]=0,0,_xlfn.XLOOKUP(CONCATENATE(Tabla2[[#This Row],[CLASE]],Tabla2[[#This Row],[DURACIÓN]]),DevelupeMode!$P$4:$P$10,DevelupeMode!$Q$4:$Q$10,0))</f>
        <v>0</v>
      </c>
      <c r="AM147" s="32"/>
      <c r="AN147" s="23"/>
      <c r="AO147">
        <f>_xlfn.XLOOKUP(Tabla2[[#This Row],[CURSO]],DevelupeMode!$T$4:$T$11,DevelupeMode!$U$4:$U$11,AO146+1)</f>
        <v>9</v>
      </c>
    </row>
    <row r="148" spans="1:42" ht="15" hidden="1" customHeight="1" x14ac:dyDescent="0.25">
      <c r="B148" s="206"/>
      <c r="C148" s="205">
        <f>IFERROR(IF(Tabla2[[#This Row],[Status]]="",0,IF(LEFT(Tabla2[[#This Row],[Status]],4)="Baja",C147,C147+1)),1)</f>
        <v>33</v>
      </c>
      <c r="D148" s="88" t="s">
        <v>148</v>
      </c>
      <c r="E148" s="87" t="str">
        <f>IF(AND(Tabla2[[#This Row],[RECIBO ACTUAL]]="",Tabla2[[#This Row],[Status]]="Activo"),"paguenmelaren","")</f>
        <v/>
      </c>
      <c r="F148" s="87"/>
      <c r="G148" s="183">
        <v>45783</v>
      </c>
      <c r="H148" s="204" t="str">
        <f>IFERROR(CONCATENATE("AGS015",MID(Tabla2[[#This Row],[ALUMNO]],1,2),MID(Tabla2[[#This Row],[ALUMNO]],FIND(" ",Tabla2[[#This Row],[ALUMNO]],1)+1,2)),"Aguas")</f>
        <v>AGS015BáEs</v>
      </c>
      <c r="I148" s="104" t="s">
        <v>507</v>
      </c>
      <c r="J148" s="104">
        <f ca="1">IFERROR(YEAR(TODAY())-Tabla2[[#This Row],[año]],"")</f>
        <v>11</v>
      </c>
      <c r="K148" s="77" t="s">
        <v>463</v>
      </c>
      <c r="L148" s="212" t="s">
        <v>352</v>
      </c>
      <c r="M148" s="212"/>
      <c r="N148" s="212"/>
      <c r="O148" s="212" t="str">
        <f>IF(Tabla2[[#This Row],[MÉTODO]]="Yamaha","Royalty","")</f>
        <v/>
      </c>
      <c r="P148" s="23"/>
      <c r="Q148" s="23"/>
      <c r="R148" s="112" t="s">
        <v>58</v>
      </c>
      <c r="S148" s="70">
        <v>0.67708333333333337</v>
      </c>
      <c r="T148" s="113" t="s">
        <v>113</v>
      </c>
      <c r="U148" s="113"/>
      <c r="V148" s="192">
        <v>30</v>
      </c>
      <c r="W148" s="144" t="s">
        <v>508</v>
      </c>
      <c r="X148" s="196" t="s">
        <v>509</v>
      </c>
      <c r="Y148" s="144" t="s">
        <v>508</v>
      </c>
      <c r="Z148" s="146" t="s">
        <v>510</v>
      </c>
      <c r="AA148" s="146">
        <v>4491557893</v>
      </c>
      <c r="AB148" s="245"/>
      <c r="AC148" s="52">
        <v>42130</v>
      </c>
      <c r="AD148" s="147">
        <f>IF(YEAR(Tabla2[[#This Row],[FECHA DE NACIMIENTO DEL ALUMNO]])&lt;&gt;1900,YEAR(Tabla2[[#This Row],[FECHA DE NACIMIENTO DEL ALUMNO]]),"")</f>
        <v>2015</v>
      </c>
      <c r="AE148" s="73"/>
      <c r="AF148" s="23"/>
      <c r="AG148" s="18"/>
      <c r="AH148" s="71"/>
      <c r="AI148" s="73"/>
      <c r="AJ148" s="23"/>
      <c r="AK148" s="71"/>
      <c r="AL148" s="236">
        <f>IF(Tabla2[[#This Row],[RECIBO ACTUAL]]=0,0,_xlfn.XLOOKUP(CONCATENATE(Tabla2[[#This Row],[CLASE]],Tabla2[[#This Row],[DURACIÓN]]),DevelupeMode!$P$4:$P$10,DevelupeMode!$Q$4:$Q$10,0))</f>
        <v>0</v>
      </c>
      <c r="AM148" s="32"/>
      <c r="AN148" s="23"/>
      <c r="AO148">
        <f>_xlfn.XLOOKUP(Tabla2[[#This Row],[CURSO]],DevelupeMode!$T$4:$T$11,DevelupeMode!$U$4:$U$11,AO147+1)</f>
        <v>10</v>
      </c>
    </row>
    <row r="149" spans="1:42" ht="15" hidden="1" customHeight="1" x14ac:dyDescent="0.25">
      <c r="B149" s="216"/>
      <c r="C149" s="205">
        <f>IFERROR(IF(Tabla2[[#This Row],[Status]]="",0,IF(LEFT(Tabla2[[#This Row],[Status]],4)="Baja",C148,C148+1)),1)</f>
        <v>33</v>
      </c>
      <c r="D149" s="217" t="s">
        <v>613</v>
      </c>
      <c r="E149" s="218" t="str">
        <f>IF(AND(Tabla2[[#This Row],[RECIBO ACTUAL]]="",Tabla2[[#This Row],[Status]]="Activo"),"paguenmelaren","")</f>
        <v/>
      </c>
      <c r="F149" s="185"/>
      <c r="G149" s="249"/>
      <c r="H149" s="204" t="str">
        <f>IFERROR(CONCATENATE("AGS015",MID(Tabla2[[#This Row],[ALUMNO]],1,2),MID(Tabla2[[#This Row],[ALUMNO]],FIND(" ",Tabla2[[#This Row],[ALUMNO]],1)+1,2)),"Aguas")</f>
        <v>Aguas</v>
      </c>
      <c r="I149" s="219"/>
      <c r="J149" s="219" t="str">
        <f ca="1">IFERROR(YEAR(TODAY())-Tabla2[[#This Row],[año]],"")</f>
        <v/>
      </c>
      <c r="K149" s="220"/>
      <c r="L149" s="221"/>
      <c r="M149" s="221"/>
      <c r="N149" s="221"/>
      <c r="O149" s="221" t="str">
        <f>IF(Tabla2[[#This Row],[MÉTODO]]="Yamaha","Royalty","")</f>
        <v/>
      </c>
      <c r="P149" s="81"/>
      <c r="Q149" s="81"/>
      <c r="R149" s="222"/>
      <c r="S149" s="81"/>
      <c r="T149" s="81"/>
      <c r="U149" s="81"/>
      <c r="V149" s="222"/>
      <c r="W149" s="81"/>
      <c r="X149" s="223"/>
      <c r="Y149" s="81"/>
      <c r="Z149" s="81"/>
      <c r="AA149" s="81"/>
      <c r="AB149" s="224"/>
      <c r="AC149" s="225"/>
      <c r="AD149" s="225" t="str">
        <f>IF(YEAR(Tabla2[[#This Row],[FECHA DE NACIMIENTO DEL ALUMNO]])&lt;&gt;1900,YEAR(Tabla2[[#This Row],[FECHA DE NACIMIENTO DEL ALUMNO]]),"")</f>
        <v/>
      </c>
      <c r="AE149" s="81"/>
      <c r="AF149" s="226"/>
      <c r="AG149" s="227"/>
      <c r="AH149" s="229"/>
      <c r="AI149" s="228"/>
      <c r="AJ149" s="226"/>
      <c r="AK149" s="229"/>
      <c r="AL149" s="236">
        <f>IF(Tabla2[[#This Row],[RECIBO ACTUAL]]=0,0,_xlfn.XLOOKUP(CONCATENATE(Tabla2[[#This Row],[CLASE]],Tabla2[[#This Row],[DURACIÓN]]),DevelupeMode!$P$4:$P$10,DevelupeMode!$Q$4:$Q$10,0))</f>
        <v>0</v>
      </c>
      <c r="AM149" s="230"/>
      <c r="AN149" s="226"/>
      <c r="AO149">
        <f>_xlfn.XLOOKUP(Tabla2[[#This Row],[CURSO]],DevelupeMode!$T$4:$T$11,DevelupeMode!$U$4:$U$11,AO148+1)</f>
        <v>27</v>
      </c>
      <c r="AP149" s="81"/>
    </row>
    <row r="150" spans="1:42" ht="15" customHeight="1" x14ac:dyDescent="0.25">
      <c r="A150" s="84"/>
      <c r="B150" s="260"/>
      <c r="C150" s="205">
        <f>IFERROR(IF(Tabla2[[#This Row],[Status]]="",0,IF(LEFT(Tabla2[[#This Row],[Status]],4)="Baja",C149,C149+1)),1)</f>
        <v>34</v>
      </c>
      <c r="D150" s="87" t="s">
        <v>19</v>
      </c>
      <c r="E150" s="87" t="str">
        <f>IF(AND(Tabla2[[#This Row],[RECIBO ACTUAL]]="",Tabla2[[#This Row],[Status]]="Activo"),"paguenmelaren","")</f>
        <v/>
      </c>
      <c r="F150" s="87"/>
      <c r="G150" s="182">
        <v>45559</v>
      </c>
      <c r="H150" s="204" t="str">
        <f>IFERROR(CONCATENATE("AGS015",MID(Tabla2[[#This Row],[ALUMNO]],1,2),MID(Tabla2[[#This Row],[ALUMNO]],FIND(" ",Tabla2[[#This Row],[ALUMNO]],1)+1,2)),"Aguas")</f>
        <v>AGS015IrMi</v>
      </c>
      <c r="I150" s="7" t="s">
        <v>378</v>
      </c>
      <c r="J150" s="7">
        <f ca="1">IFERROR(YEAR(TODAY())-Tabla2[[#This Row],[año]],"")</f>
        <v>63</v>
      </c>
      <c r="K150" s="254" t="s">
        <v>83</v>
      </c>
      <c r="L150" s="9" t="s">
        <v>78</v>
      </c>
      <c r="M150" s="9"/>
      <c r="N150" s="9"/>
      <c r="O150" s="9" t="s">
        <v>447</v>
      </c>
      <c r="P150" s="9"/>
      <c r="Q150" s="9"/>
      <c r="R150" s="266" t="s">
        <v>610</v>
      </c>
      <c r="S150" s="11">
        <v>0.72916666666666663</v>
      </c>
      <c r="T150" s="113" t="s">
        <v>113</v>
      </c>
      <c r="U150" s="113" t="s">
        <v>389</v>
      </c>
      <c r="V150" s="113">
        <v>45</v>
      </c>
      <c r="W150" s="142">
        <v>4499071321</v>
      </c>
      <c r="X150" s="28"/>
      <c r="Y150" s="142"/>
      <c r="Z150" s="142"/>
      <c r="AA150" s="142"/>
      <c r="AB150" s="30"/>
      <c r="AC150" s="6">
        <v>23012</v>
      </c>
      <c r="AD150" s="147">
        <f>IF(YEAR(Tabla2[[#This Row],[FECHA DE NACIMIENTO DEL ALUMNO]])&lt;&gt;1900,YEAR(Tabla2[[#This Row],[FECHA DE NACIMIENTO DEL ALUMNO]]),"")</f>
        <v>1963</v>
      </c>
      <c r="AE150" s="14">
        <v>600</v>
      </c>
      <c r="AF150" s="15"/>
      <c r="AG150" s="152">
        <v>559</v>
      </c>
      <c r="AH150" s="71">
        <v>644</v>
      </c>
      <c r="AI150" s="73"/>
      <c r="AJ150" s="19"/>
      <c r="AK150" s="71">
        <v>665</v>
      </c>
      <c r="AL150" s="236">
        <f>IF(Tabla2[[#This Row],[RECIBO ACTUAL]]=0,0,_xlfn.XLOOKUP(CONCATENATE(Tabla2[[#This Row],[CLASE]],Tabla2[[#This Row],[DURACIÓN]]),DevelupeMode!$P$4:$P$10,DevelupeMode!$Q$4:$Q$10,0))</f>
        <v>1490</v>
      </c>
      <c r="AM150" s="21" t="s">
        <v>56</v>
      </c>
      <c r="AN150" s="22"/>
      <c r="AO150">
        <f>_xlfn.XLOOKUP(Tabla2[[#This Row],[CURSO]],DevelupeMode!$T$4:$T$11,DevelupeMode!$U$4:$U$11,AO149+1)</f>
        <v>6</v>
      </c>
      <c r="AP150" s="84"/>
    </row>
    <row r="151" spans="1:42" ht="15" customHeight="1" x14ac:dyDescent="0.25">
      <c r="A151" s="84"/>
      <c r="B151" s="260"/>
      <c r="C151" s="205">
        <f>IFERROR(IF(Tabla2[[#This Row],[Status]]="",0,IF(LEFT(Tabla2[[#This Row],[Status]],4)="Baja",C150,C150+1)),1)</f>
        <v>35</v>
      </c>
      <c r="D151" s="261" t="s">
        <v>19</v>
      </c>
      <c r="E151" s="88" t="str">
        <f>IF(AND(Tabla2[[#This Row],[RECIBO ACTUAL]]="",Tabla2[[#This Row],[Status]]="Activo"),"paguenmelaren","")</f>
        <v/>
      </c>
      <c r="F151" s="87" t="s">
        <v>601</v>
      </c>
      <c r="G151" s="262">
        <v>46077</v>
      </c>
      <c r="H151" s="204" t="str">
        <f>IFERROR(CONCATENATE("AGS015",MID(Tabla2[[#This Row],[ALUMNO]],1,2),MID(Tabla2[[#This Row],[ALUMNO]],FIND(" ",Tabla2[[#This Row],[ALUMNO]],1)+1,2)),"Aguas")</f>
        <v>AGS015MaJo</v>
      </c>
      <c r="I151" s="263" t="s">
        <v>606</v>
      </c>
      <c r="J151" s="104">
        <f ca="1">IFERROR(YEAR(TODAY())-Tabla2[[#This Row],[año]],"")</f>
        <v>15</v>
      </c>
      <c r="K151" s="275" t="s">
        <v>83</v>
      </c>
      <c r="L151" s="265" t="s">
        <v>78</v>
      </c>
      <c r="M151" s="23"/>
      <c r="N151" s="23"/>
      <c r="O151" s="23" t="str">
        <f>IF(Tabla2[[#This Row],[MÉTODO]]="Yamaha","Royalty","")</f>
        <v/>
      </c>
      <c r="P151" s="84"/>
      <c r="Q151" s="84"/>
      <c r="R151" s="266" t="s">
        <v>610</v>
      </c>
      <c r="S151" s="276">
        <v>0.76041666666666663</v>
      </c>
      <c r="T151" s="266" t="s">
        <v>334</v>
      </c>
      <c r="U151" s="84"/>
      <c r="V151" s="266">
        <v>50</v>
      </c>
      <c r="W151" s="267" t="s">
        <v>605</v>
      </c>
      <c r="X151" s="50"/>
      <c r="Y151" s="84"/>
      <c r="Z151" s="84"/>
      <c r="AA151" s="84"/>
      <c r="AB151" s="51"/>
      <c r="AC151" s="268">
        <v>40544</v>
      </c>
      <c r="AD151" s="52">
        <f>IF(YEAR(Tabla2[[#This Row],[FECHA DE NACIMIENTO DEL ALUMNO]])&lt;&gt;1900,YEAR(Tabla2[[#This Row],[FECHA DE NACIMIENTO DEL ALUMNO]]),"")</f>
        <v>2011</v>
      </c>
      <c r="AE151" s="84"/>
      <c r="AF151" s="23"/>
      <c r="AG151" s="18"/>
      <c r="AH151" s="71">
        <v>651</v>
      </c>
      <c r="AI151" s="73"/>
      <c r="AJ151" s="23"/>
      <c r="AK151" s="71">
        <v>672</v>
      </c>
      <c r="AL151" s="236">
        <f>IF(Tabla2[[#This Row],[RECIBO ACTUAL]]=0,0,_xlfn.XLOOKUP(CONCATENATE(Tabla2[[#This Row],[CLASE]],Tabla2[[#This Row],[DURACIÓN]]),DevelupeMode!$P$4:$P$10,DevelupeMode!$Q$4:$Q$10,0))</f>
        <v>1100</v>
      </c>
      <c r="AM151" s="32" t="s">
        <v>413</v>
      </c>
      <c r="AN151" s="23"/>
      <c r="AO151">
        <f>_xlfn.XLOOKUP(Tabla2[[#This Row],[CURSO]],DevelupeMode!$T$4:$T$11,DevelupeMode!$U$4:$U$11,AO150+1)</f>
        <v>6</v>
      </c>
      <c r="AP151" s="84"/>
    </row>
    <row r="152" spans="1:42" ht="15" customHeight="1" x14ac:dyDescent="0.25">
      <c r="A152" s="84"/>
      <c r="B152" s="260"/>
      <c r="C152" s="205">
        <f>IFERROR(IF(Tabla2[[#This Row],[Status]]="",0,IF(LEFT(Tabla2[[#This Row],[Status]],4)="Baja",C151,C151+1)),1)</f>
        <v>36</v>
      </c>
      <c r="D152" s="261" t="s">
        <v>19</v>
      </c>
      <c r="E152" s="88" t="str">
        <f>IF(AND(Tabla2[[#This Row],[RECIBO ACTUAL]]="",Tabla2[[#This Row],[Status]]="Activo"),"paguenmelaren","")</f>
        <v/>
      </c>
      <c r="F152" s="87" t="s">
        <v>601</v>
      </c>
      <c r="G152" s="262">
        <v>46077</v>
      </c>
      <c r="H152" s="204" t="str">
        <f>IFERROR(CONCATENATE("AGS015",MID(Tabla2[[#This Row],[ALUMNO]],1,2),MID(Tabla2[[#This Row],[ALUMNO]],FIND(" ",Tabla2[[#This Row],[ALUMNO]],1)+1,2)),"Aguas")</f>
        <v>AGS015LuGo</v>
      </c>
      <c r="I152" s="263" t="s">
        <v>607</v>
      </c>
      <c r="J152" s="104">
        <f ca="1">IFERROR(YEAR(TODAY())-Tabla2[[#This Row],[año]],"")</f>
        <v>13</v>
      </c>
      <c r="K152" s="275" t="s">
        <v>83</v>
      </c>
      <c r="L152" s="265" t="s">
        <v>78</v>
      </c>
      <c r="M152" s="23"/>
      <c r="N152" s="23"/>
      <c r="O152" s="23" t="str">
        <f>IF(Tabla2[[#This Row],[MÉTODO]]="Yamaha","Royalty","")</f>
        <v/>
      </c>
      <c r="P152" s="84"/>
      <c r="Q152" s="84"/>
      <c r="R152" s="266" t="s">
        <v>610</v>
      </c>
      <c r="S152" s="276">
        <v>0.76041666666666663</v>
      </c>
      <c r="T152" s="266" t="s">
        <v>334</v>
      </c>
      <c r="U152" s="84"/>
      <c r="V152" s="266">
        <v>50</v>
      </c>
      <c r="W152" s="267" t="s">
        <v>605</v>
      </c>
      <c r="X152" s="50"/>
      <c r="Y152" s="84"/>
      <c r="Z152" s="84"/>
      <c r="AA152" s="84"/>
      <c r="AB152" s="51"/>
      <c r="AC152" s="268">
        <v>41275</v>
      </c>
      <c r="AD152" s="52">
        <f>IF(YEAR(Tabla2[[#This Row],[FECHA DE NACIMIENTO DEL ALUMNO]])&lt;&gt;1900,YEAR(Tabla2[[#This Row],[FECHA DE NACIMIENTO DEL ALUMNO]]),"")</f>
        <v>2013</v>
      </c>
      <c r="AE152" s="84"/>
      <c r="AF152" s="23"/>
      <c r="AG152" s="18"/>
      <c r="AH152" s="71">
        <v>651</v>
      </c>
      <c r="AI152" s="73"/>
      <c r="AJ152" s="23"/>
      <c r="AK152" s="71">
        <v>672</v>
      </c>
      <c r="AL152" s="236">
        <f>IF(Tabla2[[#This Row],[RECIBO ACTUAL]]=0,0,_xlfn.XLOOKUP(CONCATENATE(Tabla2[[#This Row],[CLASE]],Tabla2[[#This Row],[DURACIÓN]]),DevelupeMode!$P$4:$P$10,DevelupeMode!$Q$4:$Q$10,0))</f>
        <v>1100</v>
      </c>
      <c r="AM152" s="32" t="s">
        <v>413</v>
      </c>
      <c r="AN152" s="23"/>
      <c r="AO152">
        <f>_xlfn.XLOOKUP(Tabla2[[#This Row],[CURSO]],DevelupeMode!$T$4:$T$11,DevelupeMode!$U$4:$U$11,AO151+1)</f>
        <v>6</v>
      </c>
      <c r="AP152" s="84"/>
    </row>
    <row r="153" spans="1:42" ht="15" customHeight="1" x14ac:dyDescent="0.25">
      <c r="A153" s="84"/>
      <c r="B153" s="260"/>
      <c r="C153" s="282">
        <f>IFERROR(IF(Tabla2[[#This Row],[Status]]="",0,IF(LEFT(Tabla2[[#This Row],[Status]],4)="Baja",C152,C152+1)),1)</f>
        <v>37</v>
      </c>
      <c r="D153" s="87" t="s">
        <v>19</v>
      </c>
      <c r="E153" s="87" t="str">
        <f>IF(AND(Tabla2[[#This Row],[RECIBO ACTUAL]]="",Tabla2[[#This Row],[Status]]="Activo"),"paguenmelaren","")</f>
        <v/>
      </c>
      <c r="F153" s="87"/>
      <c r="G153" s="182">
        <v>45650</v>
      </c>
      <c r="H153" s="204" t="str">
        <f>IFERROR(CONCATENATE("AGS015",MID(Tabla2[[#This Row],[ALUMNO]],1,2),MID(Tabla2[[#This Row],[ALUMNO]],FIND(" ",Tabla2[[#This Row],[ALUMNO]],1)+1,2)),"Aguas")</f>
        <v>AGS015AsSo</v>
      </c>
      <c r="I153" s="7" t="s">
        <v>151</v>
      </c>
      <c r="J153" s="7">
        <f ca="1">IFERROR(YEAR(TODAY())-Tabla2[[#This Row],[año]],"")</f>
        <v>12</v>
      </c>
      <c r="K153" s="254" t="s">
        <v>83</v>
      </c>
      <c r="L153" s="9" t="s">
        <v>78</v>
      </c>
      <c r="M153" s="9"/>
      <c r="N153" s="9" t="s">
        <v>446</v>
      </c>
      <c r="O153" s="9"/>
      <c r="P153" s="9"/>
      <c r="Q153" s="9"/>
      <c r="R153" s="113" t="s">
        <v>617</v>
      </c>
      <c r="S153" s="11">
        <v>0.5</v>
      </c>
      <c r="T153" s="113" t="s">
        <v>113</v>
      </c>
      <c r="U153" s="113" t="s">
        <v>390</v>
      </c>
      <c r="V153" s="113">
        <v>30</v>
      </c>
      <c r="W153" s="142"/>
      <c r="X153" s="12" t="s">
        <v>80</v>
      </c>
      <c r="Y153" s="142">
        <v>4491083062</v>
      </c>
      <c r="Z153" s="142"/>
      <c r="AA153" s="142"/>
      <c r="AB153" s="30" t="s">
        <v>82</v>
      </c>
      <c r="AC153" s="6">
        <v>41989</v>
      </c>
      <c r="AD153" s="147">
        <f>IF(YEAR(Tabla2[[#This Row],[FECHA DE NACIMIENTO DEL ALUMNO]])&lt;&gt;1900,YEAR(Tabla2[[#This Row],[FECHA DE NACIMIENTO DEL ALUMNO]]),"")</f>
        <v>2014</v>
      </c>
      <c r="AE153" s="14"/>
      <c r="AF153" s="15"/>
      <c r="AG153" s="152"/>
      <c r="AH153" s="71">
        <v>641</v>
      </c>
      <c r="AI153" s="73"/>
      <c r="AJ153" s="55"/>
      <c r="AK153" s="71">
        <v>661</v>
      </c>
      <c r="AL153" s="236">
        <f>IF(Tabla2[[#This Row],[RECIBO ACTUAL]]=0,0,_xlfn.XLOOKUP(CONCATENATE(Tabla2[[#This Row],[CLASE]],Tabla2[[#This Row],[DURACIÓN]]),DevelupeMode!$P$4:$P$10,DevelupeMode!$Q$4:$Q$10,0))</f>
        <v>1100</v>
      </c>
      <c r="AM153" s="9" t="s">
        <v>554</v>
      </c>
      <c r="AN153" s="22"/>
      <c r="AO153">
        <f>_xlfn.XLOOKUP(Tabla2[[#This Row],[CURSO]],DevelupeMode!$T$4:$T$11,DevelupeMode!$U$4:$U$11,AO152+1)</f>
        <v>6</v>
      </c>
      <c r="AP153" s="84"/>
    </row>
    <row r="154" spans="1:42" ht="15" customHeight="1" x14ac:dyDescent="0.25">
      <c r="A154" s="84"/>
      <c r="B154" s="260"/>
      <c r="C154" s="282">
        <f>IFERROR(IF(Tabla2[[#This Row],[Status]]="",0,IF(LEFT(Tabla2[[#This Row],[Status]],4)="Baja",C153,C153+1)),1)</f>
        <v>38</v>
      </c>
      <c r="D154" s="87" t="s">
        <v>19</v>
      </c>
      <c r="E154" s="87" t="str">
        <f>IF(AND(Tabla2[[#This Row],[RECIBO ACTUAL]]="",Tabla2[[#This Row],[Status]]="Activo"),"paguenmelaren","")</f>
        <v/>
      </c>
      <c r="F154" s="87"/>
      <c r="G154" s="182">
        <v>45703</v>
      </c>
      <c r="H154" s="204" t="str">
        <f>IFERROR(CONCATENATE("AGS015",MID(Tabla2[[#This Row],[ALUMNO]],1,2),MID(Tabla2[[#This Row],[ALUMNO]],FIND(" ",Tabla2[[#This Row],[ALUMNO]],1)+1,2)),"Aguas")</f>
        <v>AGS015JaAl</v>
      </c>
      <c r="I154" s="7" t="s">
        <v>464</v>
      </c>
      <c r="J154" s="7">
        <f ca="1">IFERROR(YEAR(TODAY())-Tabla2[[#This Row],[año]],"")</f>
        <v>14</v>
      </c>
      <c r="K154" s="254" t="s">
        <v>83</v>
      </c>
      <c r="L154" s="9" t="s">
        <v>78</v>
      </c>
      <c r="M154" s="9"/>
      <c r="N154" s="24"/>
      <c r="O154" s="9" t="s">
        <v>474</v>
      </c>
      <c r="P154" s="9"/>
      <c r="Q154" s="9"/>
      <c r="R154" s="113" t="s">
        <v>617</v>
      </c>
      <c r="S154" s="11">
        <v>0.52083333333333337</v>
      </c>
      <c r="T154" s="113" t="s">
        <v>113</v>
      </c>
      <c r="U154" s="113"/>
      <c r="V154" s="113">
        <v>30</v>
      </c>
      <c r="W154" s="142"/>
      <c r="X154" s="12"/>
      <c r="Y154" s="142"/>
      <c r="Z154" s="142" t="s">
        <v>466</v>
      </c>
      <c r="AA154" s="142" t="s">
        <v>465</v>
      </c>
      <c r="AB154" s="30"/>
      <c r="AC154" s="25">
        <v>40909</v>
      </c>
      <c r="AD154" s="147">
        <f>IF(YEAR(Tabla2[[#This Row],[FECHA DE NACIMIENTO DEL ALUMNO]])&lt;&gt;1900,YEAR(Tabla2[[#This Row],[FECHA DE NACIMIENTO DEL ALUMNO]]),"")</f>
        <v>2012</v>
      </c>
      <c r="AE154" s="14"/>
      <c r="AF154" s="15"/>
      <c r="AG154" s="152"/>
      <c r="AH154" s="71">
        <v>642</v>
      </c>
      <c r="AI154" s="73"/>
      <c r="AJ154" s="19"/>
      <c r="AK154" s="71">
        <v>676</v>
      </c>
      <c r="AL154" s="236">
        <f>IF(Tabla2[[#This Row],[RECIBO ACTUAL]]=0,0,_xlfn.XLOOKUP(CONCATENATE(Tabla2[[#This Row],[CLASE]],Tabla2[[#This Row],[DURACIÓN]]),DevelupeMode!$P$4:$P$10,DevelupeMode!$Q$4:$Q$10,0))</f>
        <v>1100</v>
      </c>
      <c r="AM154" s="21" t="s">
        <v>603</v>
      </c>
      <c r="AN154" s="22"/>
      <c r="AO154" s="81">
        <f>_xlfn.XLOOKUP(Tabla2[[#This Row],[CURSO]],DevelupeMode!$T$4:$T$11,DevelupeMode!$U$4:$U$11,AO153+1)</f>
        <v>6</v>
      </c>
      <c r="AP154" s="84"/>
    </row>
    <row r="155" spans="1:42" ht="15" customHeight="1" x14ac:dyDescent="0.25">
      <c r="A155" s="84"/>
      <c r="B155" s="260"/>
      <c r="C155" s="205">
        <f>IFERROR(IF(Tabla2[[#This Row],[Status]]="",0,IF(LEFT(Tabla2[[#This Row],[Status]],4)="Baja",C154,C154+1)),1)</f>
        <v>39</v>
      </c>
      <c r="D155" s="87" t="s">
        <v>19</v>
      </c>
      <c r="E155" s="87" t="str">
        <f>IF(AND(Tabla2[[#This Row],[RECIBO ACTUAL]]="",Tabla2[[#This Row],[Status]]="Activo"),"paguenmelaren","")</f>
        <v/>
      </c>
      <c r="F155" s="87"/>
      <c r="G155" s="182">
        <v>45444</v>
      </c>
      <c r="H155" s="204" t="str">
        <f>IFERROR(CONCATENATE("AGS015",MID(Tabla2[[#This Row],[ALUMNO]],1,2),MID(Tabla2[[#This Row],[ALUMNO]],FIND(" ",Tabla2[[#This Row],[ALUMNO]],1)+1,2)),"Aguas")</f>
        <v>AGS015JuCa</v>
      </c>
      <c r="I155" s="7" t="s">
        <v>353</v>
      </c>
      <c r="J155" s="7">
        <f ca="1">IFERROR(YEAR(TODAY())-Tabla2[[#This Row],[año]],"")</f>
        <v>13</v>
      </c>
      <c r="K155" s="8" t="s">
        <v>555</v>
      </c>
      <c r="L155" s="9" t="s">
        <v>21</v>
      </c>
      <c r="M155" s="9">
        <v>9</v>
      </c>
      <c r="N155" s="24" t="s">
        <v>24</v>
      </c>
      <c r="O155" s="9"/>
      <c r="P155" s="22">
        <v>45752</v>
      </c>
      <c r="Q155" s="9"/>
      <c r="R155" s="266" t="s">
        <v>612</v>
      </c>
      <c r="S155" s="11">
        <v>0.71875</v>
      </c>
      <c r="T155" s="113" t="s">
        <v>113</v>
      </c>
      <c r="U155" s="113" t="s">
        <v>389</v>
      </c>
      <c r="V155" s="113">
        <v>45</v>
      </c>
      <c r="W155" s="142">
        <v>4491123817</v>
      </c>
      <c r="X155" s="50" t="s">
        <v>105</v>
      </c>
      <c r="Y155" s="142">
        <v>4491123817</v>
      </c>
      <c r="Z155" s="142"/>
      <c r="AA155" s="142"/>
      <c r="AB155" s="30" t="s">
        <v>106</v>
      </c>
      <c r="AC155" s="6">
        <v>41322</v>
      </c>
      <c r="AD155" s="147">
        <f>IF(YEAR(Tabla2[[#This Row],[FECHA DE NACIMIENTO DEL ALUMNO]])&lt;&gt;1900,YEAR(Tabla2[[#This Row],[FECHA DE NACIMIENTO DEL ALUMNO]]),"")</f>
        <v>2013</v>
      </c>
      <c r="AE155" s="67">
        <v>600</v>
      </c>
      <c r="AF155" s="23" t="s">
        <v>107</v>
      </c>
      <c r="AG155" s="155">
        <v>300</v>
      </c>
      <c r="AH155" s="71">
        <v>632</v>
      </c>
      <c r="AI155" s="73"/>
      <c r="AJ155" s="23"/>
      <c r="AK155" s="71">
        <v>663</v>
      </c>
      <c r="AL155" s="236">
        <f>IF(Tabla2[[#This Row],[RECIBO ACTUAL]]=0,0,_xlfn.XLOOKUP(CONCATENATE(Tabla2[[#This Row],[CLASE]],Tabla2[[#This Row],[DURACIÓN]]),DevelupeMode!$P$4:$P$10,DevelupeMode!$Q$4:$Q$10,0))</f>
        <v>1490</v>
      </c>
      <c r="AM155" s="9" t="s">
        <v>56</v>
      </c>
      <c r="AN155" s="34"/>
      <c r="AO155">
        <f>_xlfn.XLOOKUP(Tabla2[[#This Row],[CURSO]],DevelupeMode!$T$4:$T$11,DevelupeMode!$U$4:$U$11,AO154+1)</f>
        <v>2</v>
      </c>
      <c r="AP155" s="84"/>
    </row>
    <row r="156" spans="1:42" ht="15" customHeight="1" x14ac:dyDescent="0.25">
      <c r="A156" s="84"/>
      <c r="B156" s="260"/>
      <c r="C156" s="205">
        <f>IFERROR(IF(Tabla2[[#This Row],[Status]]="",0,IF(LEFT(Tabla2[[#This Row],[Status]],4)="Baja",C155,C155+1)),1)</f>
        <v>40</v>
      </c>
      <c r="D156" s="87" t="s">
        <v>19</v>
      </c>
      <c r="E156" s="88" t="str">
        <f>IF(AND(Tabla2[[#This Row],[RECIBO ACTUAL]]="",Tabla2[[#This Row],[Status]]="Activo"),"paguenmelaren","")</f>
        <v/>
      </c>
      <c r="F156" s="87"/>
      <c r="G156" s="182">
        <v>45752</v>
      </c>
      <c r="H156" s="204" t="str">
        <f>IFERROR(CONCATENATE("AGS015",MID(Tabla2[[#This Row],[ALUMNO]],1,2),MID(Tabla2[[#This Row],[ALUMNO]],FIND(" ",Tabla2[[#This Row],[ALUMNO]],1)+1,2)),"Aguas")</f>
        <v>AGS015EuPa</v>
      </c>
      <c r="I156" s="7" t="s">
        <v>504</v>
      </c>
      <c r="J156" s="104">
        <f ca="1">IFERROR(YEAR(TODAY())-Tabla2[[#This Row],[año]],"")</f>
        <v>13</v>
      </c>
      <c r="K156" s="8" t="s">
        <v>555</v>
      </c>
      <c r="L156" s="9" t="s">
        <v>21</v>
      </c>
      <c r="M156" s="9">
        <v>10</v>
      </c>
      <c r="N156" s="24" t="s">
        <v>24</v>
      </c>
      <c r="O156" s="9" t="str">
        <f>IF(Tabla2[[#This Row],[MÉTODO]]="Yamaha","Royalty","")</f>
        <v>Royalty</v>
      </c>
      <c r="P156" s="9"/>
      <c r="Q156" s="9"/>
      <c r="R156" s="266" t="s">
        <v>612</v>
      </c>
      <c r="S156" s="11">
        <v>0.75</v>
      </c>
      <c r="T156" s="113" t="s">
        <v>113</v>
      </c>
      <c r="U156" s="113"/>
      <c r="V156" s="112">
        <v>45</v>
      </c>
      <c r="W156" s="142" t="s">
        <v>491</v>
      </c>
      <c r="X156" s="50" t="s">
        <v>492</v>
      </c>
      <c r="Y156" s="142" t="s">
        <v>238</v>
      </c>
      <c r="Z156" s="142"/>
      <c r="AA156" s="142"/>
      <c r="AB156" s="51"/>
      <c r="AC156" s="52">
        <v>41275</v>
      </c>
      <c r="AD156" s="209">
        <f>IF(YEAR(Tabla2[[#This Row],[FECHA DE NACIMIENTO DEL ALUMNO]])&lt;&gt;1900,YEAR(Tabla2[[#This Row],[FECHA DE NACIMIENTO DEL ALUMNO]]),"")</f>
        <v>2013</v>
      </c>
      <c r="AE156" s="95"/>
      <c r="AF156" s="23"/>
      <c r="AG156" s="18"/>
      <c r="AH156" s="71">
        <v>649</v>
      </c>
      <c r="AI156" s="73"/>
      <c r="AJ156" s="23"/>
      <c r="AK156" s="71">
        <v>683</v>
      </c>
      <c r="AL156" s="236">
        <f>IF(Tabla2[[#This Row],[RECIBO ACTUAL]]=0,0,_xlfn.XLOOKUP(CONCATENATE(Tabla2[[#This Row],[CLASE]],Tabla2[[#This Row],[DURACIÓN]]),DevelupeMode!$P$4:$P$10,DevelupeMode!$Q$4:$Q$10,0))</f>
        <v>1490</v>
      </c>
      <c r="AM156" s="21" t="s">
        <v>554</v>
      </c>
      <c r="AN156" s="34"/>
      <c r="AO156">
        <f>_xlfn.XLOOKUP(Tabla2[[#This Row],[CURSO]],DevelupeMode!$T$4:$T$11,DevelupeMode!$U$4:$U$11,AO155+1)</f>
        <v>2</v>
      </c>
      <c r="AP156" s="84"/>
    </row>
    <row r="157" spans="1:42" hidden="1" x14ac:dyDescent="0.25">
      <c r="B157" s="260"/>
      <c r="C157" s="205">
        <f>IFERROR(IF(Tabla2[[#This Row],[Status]]="",0,IF(LEFT(Tabla2[[#This Row],[Status]],4)="Baja",C156,C156+1)),1)</f>
        <v>40</v>
      </c>
      <c r="D157" s="87" t="s">
        <v>148</v>
      </c>
      <c r="E157" s="88" t="str">
        <f>IF(AND(Tabla2[[#This Row],[RECIBO ACTUAL]]="",Tabla2[[#This Row],[Status]]="Activo"),"paguenmelaren","")</f>
        <v/>
      </c>
      <c r="F157" s="87">
        <v>-1</v>
      </c>
      <c r="G157" s="182">
        <v>45589</v>
      </c>
      <c r="H157" s="204" t="str">
        <f>IFERROR(CONCATENATE("AGS015",MID(Tabla2[[#This Row],[ALUMNO]],1,2),MID(Tabla2[[#This Row],[ALUMNO]],FIND(" ",Tabla2[[#This Row],[ALUMNO]],1)+1,2)),"Aguas")</f>
        <v>AGS015IrMi</v>
      </c>
      <c r="I157" s="7" t="s">
        <v>378</v>
      </c>
      <c r="J157" s="7">
        <f ca="1">IFERROR(YEAR(TODAY())-Tabla2[[#This Row],[año]],"")</f>
        <v>63</v>
      </c>
      <c r="K157" s="94" t="s">
        <v>259</v>
      </c>
      <c r="L157" s="9" t="s">
        <v>42</v>
      </c>
      <c r="M157" s="9"/>
      <c r="N157" s="9"/>
      <c r="O157" s="9" t="str">
        <f>IF(Tabla2[[#This Row],[MÉTODO]]="Yamaha","Royalty","")</f>
        <v/>
      </c>
      <c r="P157" s="9"/>
      <c r="Q157" s="9"/>
      <c r="R157" s="266" t="s">
        <v>610</v>
      </c>
      <c r="S157" s="11">
        <v>0.76041666666666663</v>
      </c>
      <c r="T157" s="113" t="s">
        <v>113</v>
      </c>
      <c r="U157" s="113" t="s">
        <v>390</v>
      </c>
      <c r="V157" s="113">
        <v>45</v>
      </c>
      <c r="W157" s="142">
        <v>4499071321</v>
      </c>
      <c r="X157" s="28"/>
      <c r="Y157" s="142"/>
      <c r="Z157" s="142"/>
      <c r="AA157" s="142"/>
      <c r="AB157" s="30"/>
      <c r="AC157" s="6">
        <v>23012</v>
      </c>
      <c r="AD157" s="147">
        <f>IF(YEAR(Tabla2[[#This Row],[FECHA DE NACIMIENTO DEL ALUMNO]])&lt;&gt;1900,YEAR(Tabla2[[#This Row],[FECHA DE NACIMIENTO DEL ALUMNO]]),"")</f>
        <v>1963</v>
      </c>
      <c r="AE157" s="14">
        <v>600</v>
      </c>
      <c r="AF157" s="15"/>
      <c r="AG157" s="152">
        <v>559</v>
      </c>
      <c r="AH157" s="71">
        <v>644</v>
      </c>
      <c r="AI157" s="73"/>
      <c r="AJ157" s="19"/>
      <c r="AK157" s="71"/>
      <c r="AL157" s="236">
        <f>IF(Tabla2[[#This Row],[RECIBO ACTUAL]]=0,0,_xlfn.XLOOKUP(CONCATENATE(Tabla2[[#This Row],[CLASE]],Tabla2[[#This Row],[DURACIÓN]]),DevelupeMode!$P$4:$P$10,DevelupeMode!$Q$4:$Q$10,0))</f>
        <v>0</v>
      </c>
      <c r="AM157" s="21" t="s">
        <v>56</v>
      </c>
      <c r="AN157" s="22"/>
      <c r="AO157">
        <f>_xlfn.XLOOKUP(Tabla2[[#This Row],[CURSO]],DevelupeMode!$T$4:$T$11,DevelupeMode!$U$4:$U$11,AO156+1)</f>
        <v>4</v>
      </c>
      <c r="AP157" s="84"/>
    </row>
    <row r="158" spans="1:42" x14ac:dyDescent="0.25">
      <c r="B158" s="260"/>
      <c r="C158" s="280">
        <f>IFERROR(IF(Tabla2[[#This Row],[Status]]="",0,IF(LEFT(Tabla2[[#This Row],[Status]],4)="Baja",C157,C157+1)),1)</f>
        <v>41</v>
      </c>
      <c r="D158" s="87" t="s">
        <v>19</v>
      </c>
      <c r="E158" s="88" t="str">
        <f>IF(AND(Tabla2[[#This Row],[RECIBO ACTUAL]]="",Tabla2[[#This Row],[Status]]="Activo"),"paguenmelaren","")</f>
        <v>paguenmelaren</v>
      </c>
      <c r="F158" s="87" t="s">
        <v>601</v>
      </c>
      <c r="G158" s="262"/>
      <c r="H158" s="204" t="str">
        <f>IFERROR(CONCATENATE("AGS015",MID(Tabla2[[#This Row],[ALUMNO]],1,2),MID(Tabla2[[#This Row],[ALUMNO]],FIND(" ",Tabla2[[#This Row],[ALUMNO]],1)+1,2)),"Aguas")</f>
        <v>AGS015DiEs</v>
      </c>
      <c r="I158" s="263" t="s">
        <v>625</v>
      </c>
      <c r="J158" s="104">
        <f ca="1">IFERROR(YEAR(TODAY())-Tabla2[[#This Row],[año]],"")</f>
        <v>22</v>
      </c>
      <c r="K158" s="284" t="s">
        <v>626</v>
      </c>
      <c r="L158" s="265" t="s">
        <v>42</v>
      </c>
      <c r="M158" s="23"/>
      <c r="N158" s="23"/>
      <c r="O158" s="23" t="str">
        <f>IF(Tabla2[[#This Row],[MÉTODO]]="Yamaha","Royalty","")</f>
        <v/>
      </c>
      <c r="P158" s="84"/>
      <c r="Q158" s="84"/>
      <c r="R158" s="266" t="s">
        <v>617</v>
      </c>
      <c r="S158" s="278">
        <v>0.52083333333333337</v>
      </c>
      <c r="T158" s="279" t="s">
        <v>334</v>
      </c>
      <c r="U158" s="84"/>
      <c r="V158" s="266">
        <v>50</v>
      </c>
      <c r="W158" s="267" t="s">
        <v>627</v>
      </c>
      <c r="X158" s="50"/>
      <c r="Y158" s="84"/>
      <c r="Z158" s="84"/>
      <c r="AA158" s="84"/>
      <c r="AB158" s="51"/>
      <c r="AC158" s="268">
        <v>37987</v>
      </c>
      <c r="AD158" s="52">
        <f>IF(YEAR(Tabla2[[#This Row],[FECHA DE NACIMIENTO DEL ALUMNO]])&lt;&gt;1900,YEAR(Tabla2[[#This Row],[FECHA DE NACIMIENTO DEL ALUMNO]]),"")</f>
        <v>2004</v>
      </c>
      <c r="AE158" s="84"/>
      <c r="AF158" s="23"/>
      <c r="AG158" s="18"/>
      <c r="AH158" s="42"/>
      <c r="AI158" s="73"/>
      <c r="AJ158" s="23"/>
      <c r="AK158" s="71"/>
      <c r="AL158" s="236">
        <f>IF(Tabla2[[#This Row],[RECIBO ACTUAL]]=0,0,_xlfn.XLOOKUP(CONCATENATE(Tabla2[[#This Row],[CLASE]],Tabla2[[#This Row],[DURACIÓN]]),DevelupeMode!$P$4:$P$10,DevelupeMode!$Q$4:$Q$10,0))</f>
        <v>0</v>
      </c>
      <c r="AM158" s="159" t="s">
        <v>56</v>
      </c>
      <c r="AN158" s="23"/>
      <c r="AO158" s="81">
        <f>_xlfn.XLOOKUP(Tabla2[[#This Row],[CURSO]],DevelupeMode!$T$4:$T$11,DevelupeMode!$U$4:$U$11,AO157+1)</f>
        <v>4</v>
      </c>
      <c r="AP158" s="84"/>
    </row>
    <row r="159" spans="1:42" x14ac:dyDescent="0.25">
      <c r="A159" s="84"/>
      <c r="B159" s="260"/>
      <c r="C159" s="283">
        <f>IFERROR(IF(Tabla2[[#This Row],[Status]]="",0,IF(LEFT(Tabla2[[#This Row],[Status]],4)="Baja",C158,C158+1)),1)</f>
        <v>42</v>
      </c>
      <c r="D159" s="87" t="s">
        <v>19</v>
      </c>
      <c r="E159" s="88" t="str">
        <f>IF(AND(Tabla2[[#This Row],[RECIBO ACTUAL]]="",Tabla2[[#This Row],[Status]]="Activo"),"paguenmelaren","")</f>
        <v/>
      </c>
      <c r="F159" s="87" t="s">
        <v>601</v>
      </c>
      <c r="G159" s="262"/>
      <c r="H159" s="204" t="str">
        <f>IFERROR(CONCATENATE("AGS015",MID(Tabla2[[#This Row],[ALUMNO]],1,2),MID(Tabla2[[#This Row],[ALUMNO]],FIND(" ",Tabla2[[#This Row],[ALUMNO]],1)+1,2)),"Aguas")</f>
        <v>AGS015ReZa</v>
      </c>
      <c r="I159" s="263" t="s">
        <v>628</v>
      </c>
      <c r="J159" s="104">
        <f ca="1">IFERROR(YEAR(TODAY())-Tabla2[[#This Row],[año]],"")</f>
        <v>17</v>
      </c>
      <c r="K159" s="284" t="s">
        <v>626</v>
      </c>
      <c r="L159" s="265" t="s">
        <v>42</v>
      </c>
      <c r="M159" s="23"/>
      <c r="N159" s="23"/>
      <c r="O159" s="23" t="str">
        <f>IF(Tabla2[[#This Row],[MÉTODO]]="Yamaha","Royalty","")</f>
        <v/>
      </c>
      <c r="P159" s="84"/>
      <c r="Q159" s="84"/>
      <c r="R159" s="266" t="s">
        <v>617</v>
      </c>
      <c r="S159" s="278">
        <v>0.52083333333333337</v>
      </c>
      <c r="T159" s="279" t="s">
        <v>334</v>
      </c>
      <c r="U159" s="84"/>
      <c r="V159" s="266">
        <v>50</v>
      </c>
      <c r="W159" s="267" t="s">
        <v>629</v>
      </c>
      <c r="X159" s="50"/>
      <c r="Y159" s="84"/>
      <c r="Z159" s="84"/>
      <c r="AA159" s="84"/>
      <c r="AB159" s="51"/>
      <c r="AC159" s="268">
        <v>39814</v>
      </c>
      <c r="AD159" s="52">
        <f>IF(YEAR(Tabla2[[#This Row],[FECHA DE NACIMIENTO DEL ALUMNO]])&lt;&gt;1900,YEAR(Tabla2[[#This Row],[FECHA DE NACIMIENTO DEL ALUMNO]]),"")</f>
        <v>2009</v>
      </c>
      <c r="AE159" s="84"/>
      <c r="AF159" s="23"/>
      <c r="AG159" s="18"/>
      <c r="AH159" s="42"/>
      <c r="AI159" s="73"/>
      <c r="AJ159" s="23"/>
      <c r="AK159" s="71">
        <v>680</v>
      </c>
      <c r="AL159" s="236">
        <f>IF(Tabla2[[#This Row],[RECIBO ACTUAL]]=0,0,_xlfn.XLOOKUP(CONCATENATE(Tabla2[[#This Row],[CLASE]],Tabla2[[#This Row],[DURACIÓN]]),DevelupeMode!$P$4:$P$10,DevelupeMode!$Q$4:$Q$10,0))</f>
        <v>1100</v>
      </c>
      <c r="AM159" s="159" t="s">
        <v>630</v>
      </c>
      <c r="AN159" s="23"/>
      <c r="AO159" s="81">
        <f>_xlfn.XLOOKUP(Tabla2[[#This Row],[CURSO]],DevelupeMode!$T$4:$T$11,DevelupeMode!$U$4:$U$11,AO158+1)</f>
        <v>4</v>
      </c>
      <c r="AP159" s="84"/>
    </row>
    <row r="160" spans="1:42" x14ac:dyDescent="0.25">
      <c r="A160" s="84"/>
      <c r="B160" s="260"/>
      <c r="C160" s="281">
        <f>IFERROR(IF(Tabla2[[#This Row],[Status]]="",0,IF(LEFT(Tabla2[[#This Row],[Status]],4)="Baja",C159,C159+1)),1)</f>
        <v>43</v>
      </c>
      <c r="D160" s="87" t="s">
        <v>19</v>
      </c>
      <c r="E160" s="87" t="str">
        <f>IF(AND(Tabla2[[#This Row],[RECIBO ACTUAL]]="",Tabla2[[#This Row],[Status]]="Activo"),"paguenmelaren","")</f>
        <v/>
      </c>
      <c r="F160" s="87"/>
      <c r="G160" s="182">
        <v>45778</v>
      </c>
      <c r="H160" s="204" t="str">
        <f>IFERROR(CONCATENATE("AGS015",MID(Tabla2[[#This Row],[ALUMNO]],1,2),MID(Tabla2[[#This Row],[ALUMNO]],FIND(" ",Tabla2[[#This Row],[ALUMNO]],1)+1,2)),"Aguas")</f>
        <v>AGS015RaRe</v>
      </c>
      <c r="I160" s="7" t="s">
        <v>505</v>
      </c>
      <c r="J160" s="7">
        <f ca="1">IFERROR(YEAR(TODAY())-Tabla2[[#This Row],[año]],"")</f>
        <v>27</v>
      </c>
      <c r="K160" s="94" t="s">
        <v>259</v>
      </c>
      <c r="L160" s="9" t="s">
        <v>42</v>
      </c>
      <c r="M160" s="9">
        <v>10</v>
      </c>
      <c r="N160" s="24" t="s">
        <v>24</v>
      </c>
      <c r="O160" s="9"/>
      <c r="P160" s="9"/>
      <c r="Q160" s="9"/>
      <c r="R160" s="266" t="s">
        <v>610</v>
      </c>
      <c r="S160" s="11">
        <v>0.69791666666666663</v>
      </c>
      <c r="T160" s="113" t="s">
        <v>113</v>
      </c>
      <c r="U160" s="113"/>
      <c r="V160" s="113">
        <v>45</v>
      </c>
      <c r="W160" s="142" t="s">
        <v>506</v>
      </c>
      <c r="X160" s="12"/>
      <c r="Y160" s="142"/>
      <c r="Z160" s="142"/>
      <c r="AA160" s="142"/>
      <c r="AB160" s="13"/>
      <c r="AC160" s="25">
        <v>36169</v>
      </c>
      <c r="AD160" s="147">
        <f>IF(YEAR(Tabla2[[#This Row],[FECHA DE NACIMIENTO DEL ALUMNO]])&lt;&gt;1900,YEAR(Tabla2[[#This Row],[FECHA DE NACIMIENTO DEL ALUMNO]]),"")</f>
        <v>1999</v>
      </c>
      <c r="AE160" s="14"/>
      <c r="AF160" s="15"/>
      <c r="AG160" s="152"/>
      <c r="AH160" s="71">
        <v>643</v>
      </c>
      <c r="AI160" s="73"/>
      <c r="AJ160" s="19"/>
      <c r="AK160" s="71">
        <v>682</v>
      </c>
      <c r="AL160" s="236">
        <f>IF(Tabla2[[#This Row],[RECIBO ACTUAL]]=0,0,_xlfn.XLOOKUP(CONCATENATE(Tabla2[[#This Row],[CLASE]],Tabla2[[#This Row],[DURACIÓN]]),DevelupeMode!$P$4:$P$10,DevelupeMode!$Q$4:$Q$10,0))</f>
        <v>1490</v>
      </c>
      <c r="AM160" s="21" t="s">
        <v>564</v>
      </c>
      <c r="AN160" s="22"/>
      <c r="AO160" s="84">
        <f>_xlfn.XLOOKUP(Tabla2[[#This Row],[CURSO]],DevelupeMode!$T$4:$T$11,DevelupeMode!$U$4:$U$11,AO159+1)</f>
        <v>4</v>
      </c>
      <c r="AP160" s="84"/>
    </row>
    <row r="161" spans="1:42" ht="30" x14ac:dyDescent="0.25">
      <c r="A161" s="84"/>
      <c r="B161" s="260"/>
      <c r="C161" s="281">
        <f>IFERROR(IF(Tabla2[[#This Row],[Status]]="",0,IF(LEFT(Tabla2[[#This Row],[Status]],4)="Baja",C160,C160+1)),1)</f>
        <v>44</v>
      </c>
      <c r="D161" s="87" t="s">
        <v>19</v>
      </c>
      <c r="E161" s="87" t="str">
        <f>IF(AND(Tabla2[[#This Row],[RECIBO ACTUAL]]="",Tabla2[[#This Row],[Status]]="Activo"),"paguenmelaren","")</f>
        <v/>
      </c>
      <c r="F161" s="87"/>
      <c r="G161" s="183">
        <v>45528</v>
      </c>
      <c r="H161" s="204" t="str">
        <f>IFERROR(CONCATENATE("AGS015",MID(Tabla2[[#This Row],[ALUMNO]],1,2),MID(Tabla2[[#This Row],[ALUMNO]],FIND(" ",Tabla2[[#This Row],[ALUMNO]],1)+1,2)),"Aguas")</f>
        <v>AGS015OsAb</v>
      </c>
      <c r="I161" s="7" t="s">
        <v>354</v>
      </c>
      <c r="J161" s="7">
        <f ca="1">IFERROR(YEAR(TODAY())-Tabla2[[#This Row],[año]],"")</f>
        <v>19</v>
      </c>
      <c r="K161" s="94" t="s">
        <v>259</v>
      </c>
      <c r="L161" s="9" t="s">
        <v>42</v>
      </c>
      <c r="M161" s="9"/>
      <c r="N161" s="24"/>
      <c r="O161" s="9" t="str">
        <f>IF(Tabla2[[#This Row],[MÉTODO]]="Yamaha","Royalty","")</f>
        <v/>
      </c>
      <c r="P161" s="9"/>
      <c r="Q161" s="9"/>
      <c r="R161" s="266" t="s">
        <v>610</v>
      </c>
      <c r="S161" s="11">
        <v>0.72916666666666663</v>
      </c>
      <c r="T161" s="113" t="s">
        <v>113</v>
      </c>
      <c r="U161" s="113"/>
      <c r="V161" s="113">
        <v>45</v>
      </c>
      <c r="W161" s="142" t="s">
        <v>355</v>
      </c>
      <c r="X161" s="29"/>
      <c r="Y161" s="142"/>
      <c r="Z161" s="29" t="s">
        <v>356</v>
      </c>
      <c r="AA161" s="142" t="s">
        <v>357</v>
      </c>
      <c r="AB161" s="30"/>
      <c r="AC161" s="6">
        <v>39083</v>
      </c>
      <c r="AD161" s="147">
        <f>IF(YEAR(Tabla2[[#This Row],[FECHA DE NACIMIENTO DEL ALUMNO]])&lt;&gt;1900,YEAR(Tabla2[[#This Row],[FECHA DE NACIMIENTO DEL ALUMNO]]),"")</f>
        <v>2007</v>
      </c>
      <c r="AE161" s="20">
        <v>600</v>
      </c>
      <c r="AF161" s="9"/>
      <c r="AG161" s="21"/>
      <c r="AH161" s="17"/>
      <c r="AI161" s="20"/>
      <c r="AJ161" s="9"/>
      <c r="AK161" s="17">
        <v>686</v>
      </c>
      <c r="AL161" s="236">
        <f>IF(Tabla2[[#This Row],[RECIBO ACTUAL]]=0,0,_xlfn.XLOOKUP(CONCATENATE(Tabla2[[#This Row],[CLASE]],Tabla2[[#This Row],[DURACIÓN]]),DevelupeMode!$P$4:$P$10,DevelupeMode!$Q$4:$Q$10,0))</f>
        <v>1490</v>
      </c>
      <c r="AM161" s="9" t="s">
        <v>554</v>
      </c>
      <c r="AN161" s="9"/>
      <c r="AO161" s="84">
        <f>_xlfn.XLOOKUP(Tabla2[[#This Row],[CURSO]],DevelupeMode!$T$4:$T$11,DevelupeMode!$U$4:$U$11,AO160+1)</f>
        <v>4</v>
      </c>
      <c r="AP161" s="81"/>
    </row>
    <row r="162" spans="1:42" x14ac:dyDescent="0.25">
      <c r="B162" s="260"/>
      <c r="C162" s="281">
        <f>IFERROR(IF(Tabla2[[#This Row],[Status]]="",0,IF(LEFT(Tabla2[[#This Row],[Status]],4)="Baja",C161,C161+1)),1)</f>
        <v>45</v>
      </c>
      <c r="D162" s="87" t="s">
        <v>19</v>
      </c>
      <c r="E162" s="87" t="str">
        <f>IF(AND(Tabla2[[#This Row],[RECIBO ACTUAL]]="",Tabla2[[#This Row],[Status]]="Activo"),"paguenmelaren","")</f>
        <v/>
      </c>
      <c r="F162" s="87"/>
      <c r="G162" s="182">
        <v>45380</v>
      </c>
      <c r="H162" s="204" t="str">
        <f>IFERROR(CONCATENATE("AGS015",MID(Tabla2[[#This Row],[ALUMNO]],1,2),MID(Tabla2[[#This Row],[ALUMNO]],FIND(" ",Tabla2[[#This Row],[ALUMNO]],1)+1,2)),"Aguas")</f>
        <v>AGS015ArTe</v>
      </c>
      <c r="I162" s="7" t="s">
        <v>482</v>
      </c>
      <c r="J162" s="104">
        <f ca="1">IFERROR(YEAR(TODAY())-Tabla2[[#This Row],[año]],"")</f>
        <v>32</v>
      </c>
      <c r="K162" s="94" t="s">
        <v>259</v>
      </c>
      <c r="L162" s="9" t="s">
        <v>42</v>
      </c>
      <c r="M162" s="9"/>
      <c r="N162" s="9"/>
      <c r="O162" s="9" t="str">
        <f>IF(Tabla2[[#This Row],[MÉTODO]]="Yamaha","Royalty","")</f>
        <v/>
      </c>
      <c r="P162" s="9"/>
      <c r="Q162" s="9"/>
      <c r="R162" s="266" t="s">
        <v>610</v>
      </c>
      <c r="S162" s="11">
        <v>0.79166666666666663</v>
      </c>
      <c r="T162" s="113" t="s">
        <v>113</v>
      </c>
      <c r="U162" s="113"/>
      <c r="V162" s="112">
        <v>45</v>
      </c>
      <c r="W162" s="142" t="s">
        <v>511</v>
      </c>
      <c r="X162" s="50"/>
      <c r="Y162" s="142"/>
      <c r="Z162" s="142"/>
      <c r="AA162" s="142"/>
      <c r="AB162" s="51"/>
      <c r="AC162" s="52">
        <v>34335</v>
      </c>
      <c r="AD162" s="147">
        <f>IF(YEAR(Tabla2[[#This Row],[FECHA DE NACIMIENTO DEL ALUMNO]])&lt;&gt;1900,YEAR(Tabla2[[#This Row],[FECHA DE NACIMIENTO DEL ALUMNO]]),"")</f>
        <v>1994</v>
      </c>
      <c r="AE162" s="20">
        <v>300</v>
      </c>
      <c r="AF162" s="9" t="s">
        <v>381</v>
      </c>
      <c r="AG162" s="20"/>
      <c r="AH162" s="42">
        <v>645</v>
      </c>
      <c r="AI162" s="64"/>
      <c r="AJ162" s="9"/>
      <c r="AK162" s="42">
        <v>658</v>
      </c>
      <c r="AL162" s="236">
        <f>IF(Tabla2[[#This Row],[RECIBO ACTUAL]]=0,0,_xlfn.XLOOKUP(CONCATENATE(Tabla2[[#This Row],[CLASE]],Tabla2[[#This Row],[DURACIÓN]]),DevelupeMode!$P$4:$P$10,DevelupeMode!$Q$4:$Q$10,0))</f>
        <v>1490</v>
      </c>
      <c r="AM162" s="159" t="s">
        <v>56</v>
      </c>
      <c r="AN162" s="9"/>
      <c r="AO162" s="84">
        <f>_xlfn.XLOOKUP(Tabla2[[#This Row],[CURSO]],DevelupeMode!$T$4:$T$11,DevelupeMode!$U$4:$U$11,AO161+1)</f>
        <v>4</v>
      </c>
      <c r="AP162" s="81"/>
    </row>
  </sheetData>
  <phoneticPr fontId="14" type="noConversion"/>
  <conditionalFormatting sqref="D140 E134:F138 F83 F85 D83:E85 D86:F95 D132:F133 D134 F140 E139:E140 E141:F144 D18:F65 D96:E109 F96:F99 E146:F148 D145:F145 D67:F82 D110:F130">
    <cfRule type="cellIs" dxfId="127" priority="17" operator="equal">
      <formula>"Baja"</formula>
    </cfRule>
    <cfRule type="containsText" dxfId="126" priority="19" operator="containsText" text="Activo">
      <formula>NOT(ISERROR(SEARCH("Activo",D18)))</formula>
    </cfRule>
  </conditionalFormatting>
  <conditionalFormatting sqref="D144 D146:D148 D150:D162">
    <cfRule type="cellIs" dxfId="125" priority="15" operator="equal">
      <formula>"Baja"</formula>
    </cfRule>
    <cfRule type="containsText" dxfId="124" priority="16" operator="containsText" text="Activo">
      <formula>NOT(ISERROR(SEARCH("Activo",D144)))</formula>
    </cfRule>
  </conditionalFormatting>
  <conditionalFormatting sqref="D141:D143">
    <cfRule type="cellIs" dxfId="123" priority="9" operator="equal">
      <formula>"Baja"</formula>
    </cfRule>
    <cfRule type="containsText" dxfId="122" priority="10" operator="containsText" text="Activo">
      <formula>NOT(ISERROR(SEARCH("Activo",D141)))</formula>
    </cfRule>
  </conditionalFormatting>
  <conditionalFormatting sqref="D131:F131 F139 D135:D139">
    <cfRule type="cellIs" dxfId="121" priority="7" operator="equal">
      <formula>"Baja"</formula>
    </cfRule>
    <cfRule type="containsText" dxfId="120" priority="8" operator="containsText" text="Activo">
      <formula>NOT(ISERROR(SEARCH("Activo",D131)))</formula>
    </cfRule>
  </conditionalFormatting>
  <conditionalFormatting sqref="D66:E66">
    <cfRule type="cellIs" dxfId="119" priority="5" operator="equal">
      <formula>"Baja"</formula>
    </cfRule>
    <cfRule type="containsText" dxfId="118" priority="6" operator="containsText" text="Activo">
      <formula>NOT(ISERROR(SEARCH("Activo",D66)))</formula>
    </cfRule>
  </conditionalFormatting>
  <conditionalFormatting sqref="F84">
    <cfRule type="cellIs" dxfId="117" priority="1" operator="equal">
      <formula>"Baja"</formula>
    </cfRule>
    <cfRule type="containsText" dxfId="116" priority="2" operator="containsText" text="Activo">
      <formula>NOT(ISERROR(SEARCH("Activo",F84)))</formula>
    </cfRule>
  </conditionalFormatting>
  <hyperlinks>
    <hyperlink ref="AB135" r:id="rId1" xr:uid="{40BF92FA-947D-4DC6-BE13-2242C3D33081}"/>
    <hyperlink ref="AB84" r:id="rId2" xr:uid="{9D1814F8-B71C-427A-96D9-68DAB55838AC}"/>
    <hyperlink ref="AB75" r:id="rId3" xr:uid="{11D3AE1B-E0A6-47B9-A6AE-3038E7FB88A4}"/>
    <hyperlink ref="AB74" r:id="rId4" xr:uid="{D3075A98-62AD-4A2A-AA31-30CEF9B4FBE1}"/>
    <hyperlink ref="AB24" r:id="rId5" xr:uid="{66ED2FDE-A588-4B2A-9D1C-36B19E4976B9}"/>
    <hyperlink ref="AB85" r:id="rId6" xr:uid="{E18927D5-E1CF-4F00-A855-CF79CABA7D70}"/>
    <hyperlink ref="AB141" r:id="rId7" xr:uid="{BB42AABB-D842-414F-89D4-57E5E1717C0C}"/>
    <hyperlink ref="AB153" r:id="rId8" display="erydrom8@gmail.com" xr:uid="{357C53D9-9AF9-4307-A0AD-78175CCDFD30}"/>
    <hyperlink ref="AB33" r:id="rId9" xr:uid="{47AEB323-EDE3-49CE-9447-2B74F79485BC}"/>
    <hyperlink ref="AB39" r:id="rId10" xr:uid="{ECDCD3DF-1F3C-4B24-AD02-86D3A084A567}"/>
    <hyperlink ref="AB31" r:id="rId11" xr:uid="{AA4086E7-AC48-4082-878A-90C93DB4F59D}"/>
    <hyperlink ref="AB121" r:id="rId12" xr:uid="{6D8F2C37-5CC7-4D88-9470-F4B4AAFA09F5}"/>
    <hyperlink ref="AB122" r:id="rId13" xr:uid="{CADF18CA-1F1E-4033-8635-036E6D2D6134}"/>
    <hyperlink ref="AB136" r:id="rId14" xr:uid="{BE644D59-B8B5-471A-A0C8-BEB4534ED973}"/>
    <hyperlink ref="AB45" r:id="rId15" xr:uid="{C29AF825-E65C-4032-8109-E04214719C7B}"/>
    <hyperlink ref="AB127" r:id="rId16" xr:uid="{82AAA765-7BCB-4B1A-81F1-27FEBDA2E449}"/>
    <hyperlink ref="AB40" r:id="rId17" xr:uid="{F7D02DC5-CEE6-4C90-88DF-582B4EF76411}"/>
    <hyperlink ref="AB23" r:id="rId18" xr:uid="{C7D0368C-18D5-48F7-9133-181C3320D308}"/>
    <hyperlink ref="AB143" r:id="rId19" xr:uid="{B6E76776-C2C4-4443-9386-207D47034AF5}"/>
    <hyperlink ref="AB47" r:id="rId20" xr:uid="{925EC867-4D8D-43B7-9DF3-FF33339C5034}"/>
    <hyperlink ref="AB125" r:id="rId21" xr:uid="{B8D9E9EF-2D2D-4A40-9275-354D01D28D96}"/>
    <hyperlink ref="AB140" r:id="rId22" xr:uid="{A370EA71-B55A-4F1D-AABC-536031ABADD9}"/>
    <hyperlink ref="AB119" r:id="rId23" xr:uid="{4C7E014A-7F3B-4196-A038-17288AAFC0FC}"/>
    <hyperlink ref="AB145" r:id="rId24" xr:uid="{AAA0D9ED-5AB9-4239-9FB1-886340034965}"/>
    <hyperlink ref="AB104" r:id="rId25" xr:uid="{8B34BDA8-B50C-4A09-8A39-D3596C079001}"/>
    <hyperlink ref="AB134" r:id="rId26" xr:uid="{A11BC756-1C85-4FB0-A321-B461828CAB34}"/>
    <hyperlink ref="AB108" r:id="rId27" xr:uid="{B56F93DE-52C8-4CAD-9FF6-228B866275F1}"/>
    <hyperlink ref="AB43" r:id="rId28" xr:uid="{D2565649-9FD1-416F-AA2B-63857D4BC1F6}"/>
  </hyperlinks>
  <pageMargins left="0.7" right="0.7" top="0.75" bottom="0.75" header="0.3" footer="0.3"/>
  <pageSetup paperSize="9" scale="20" orientation="landscape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2" name="Button 1">
              <controlPr defaultSize="0" print="0" autoFill="0" autoPict="0" macro="[0]!Das_New">
                <anchor moveWithCells="1" sizeWithCells="1">
                  <from>
                    <xdr:col>12</xdr:col>
                    <xdr:colOff>276225</xdr:colOff>
                    <xdr:row>3</xdr:row>
                    <xdr:rowOff>9525</xdr:rowOff>
                  </from>
                  <to>
                    <xdr:col>13</xdr:col>
                    <xdr:colOff>819150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3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7CA69-FB10-4443-8AF6-287FFD99D692}">
  <sheetPr codeName="Hoja1"/>
  <dimension ref="B2:AB25"/>
  <sheetViews>
    <sheetView topLeftCell="B1" workbookViewId="0">
      <selection activeCell="G13" sqref="G13"/>
    </sheetView>
  </sheetViews>
  <sheetFormatPr baseColWidth="10" defaultRowHeight="15" x14ac:dyDescent="0.25"/>
  <cols>
    <col min="3" max="3" width="26.140625" bestFit="1" customWidth="1"/>
  </cols>
  <sheetData>
    <row r="2" spans="2:28" x14ac:dyDescent="0.25">
      <c r="B2" t="s">
        <v>573</v>
      </c>
      <c r="C2" t="s">
        <v>570</v>
      </c>
      <c r="E2" t="s">
        <v>571</v>
      </c>
      <c r="F2" t="s">
        <v>572</v>
      </c>
    </row>
    <row r="3" spans="2:28" x14ac:dyDescent="0.25">
      <c r="B3">
        <v>1</v>
      </c>
      <c r="C3" s="256" t="s">
        <v>545</v>
      </c>
      <c r="D3" s="255" t="s">
        <v>57</v>
      </c>
      <c r="E3" s="257">
        <v>10</v>
      </c>
      <c r="F3">
        <f>E3</f>
        <v>10</v>
      </c>
    </row>
    <row r="4" spans="2:28" x14ac:dyDescent="0.25">
      <c r="B4">
        <f t="shared" ref="B4:B10" si="0">B3+1</f>
        <v>2</v>
      </c>
      <c r="C4" s="105" t="s">
        <v>189</v>
      </c>
      <c r="D4" s="255" t="s">
        <v>57</v>
      </c>
      <c r="E4" s="255">
        <v>9</v>
      </c>
      <c r="F4">
        <f t="shared" ref="F4:F10" si="1">E4</f>
        <v>9</v>
      </c>
    </row>
    <row r="5" spans="2:28" x14ac:dyDescent="0.25">
      <c r="B5">
        <f t="shared" si="0"/>
        <v>3</v>
      </c>
      <c r="C5" s="105" t="s">
        <v>199</v>
      </c>
      <c r="D5" s="255" t="s">
        <v>57</v>
      </c>
      <c r="E5" s="255">
        <v>9</v>
      </c>
      <c r="F5">
        <f t="shared" si="1"/>
        <v>9</v>
      </c>
    </row>
    <row r="6" spans="2:28" x14ac:dyDescent="0.25">
      <c r="B6">
        <f t="shared" si="0"/>
        <v>4</v>
      </c>
      <c r="C6" s="105" t="s">
        <v>455</v>
      </c>
      <c r="D6" s="255" t="s">
        <v>57</v>
      </c>
      <c r="E6" s="255">
        <v>10</v>
      </c>
      <c r="F6">
        <f t="shared" si="1"/>
        <v>10</v>
      </c>
    </row>
    <row r="7" spans="2:28" x14ac:dyDescent="0.25">
      <c r="B7">
        <f t="shared" si="0"/>
        <v>5</v>
      </c>
      <c r="C7" s="105" t="s">
        <v>483</v>
      </c>
      <c r="D7" s="255" t="s">
        <v>57</v>
      </c>
      <c r="E7" s="258">
        <v>10</v>
      </c>
      <c r="F7">
        <f t="shared" si="1"/>
        <v>10</v>
      </c>
    </row>
    <row r="8" spans="2:28" x14ac:dyDescent="0.25">
      <c r="B8">
        <f t="shared" si="0"/>
        <v>6</v>
      </c>
      <c r="C8" s="105" t="s">
        <v>247</v>
      </c>
      <c r="D8" s="255" t="s">
        <v>78</v>
      </c>
      <c r="E8" s="259">
        <v>8</v>
      </c>
      <c r="F8">
        <f t="shared" si="1"/>
        <v>8</v>
      </c>
    </row>
    <row r="9" spans="2:28" x14ac:dyDescent="0.25">
      <c r="B9">
        <f t="shared" si="0"/>
        <v>7</v>
      </c>
      <c r="C9" s="105" t="s">
        <v>353</v>
      </c>
      <c r="D9" s="255" t="s">
        <v>21</v>
      </c>
      <c r="E9" s="255">
        <v>9</v>
      </c>
      <c r="F9">
        <f t="shared" si="1"/>
        <v>9</v>
      </c>
    </row>
    <row r="10" spans="2:28" x14ac:dyDescent="0.25">
      <c r="B10">
        <f t="shared" si="0"/>
        <v>8</v>
      </c>
      <c r="C10" s="105" t="s">
        <v>504</v>
      </c>
      <c r="D10" s="255" t="s">
        <v>21</v>
      </c>
      <c r="E10" s="255">
        <v>10</v>
      </c>
      <c r="F10">
        <f t="shared" si="1"/>
        <v>10</v>
      </c>
    </row>
    <row r="11" spans="2:28" x14ac:dyDescent="0.25">
      <c r="H11" t="s">
        <v>577</v>
      </c>
      <c r="I11" t="s">
        <v>578</v>
      </c>
      <c r="J11" t="s">
        <v>579</v>
      </c>
      <c r="K11" t="s">
        <v>580</v>
      </c>
      <c r="L11" t="s">
        <v>581</v>
      </c>
      <c r="M11" t="s">
        <v>582</v>
      </c>
      <c r="N11" t="s">
        <v>583</v>
      </c>
      <c r="O11" t="s">
        <v>584</v>
      </c>
      <c r="P11" t="s">
        <v>585</v>
      </c>
      <c r="Q11" t="s">
        <v>586</v>
      </c>
      <c r="R11" t="s">
        <v>587</v>
      </c>
      <c r="S11" t="s">
        <v>588</v>
      </c>
      <c r="T11" t="s">
        <v>589</v>
      </c>
      <c r="U11" t="s">
        <v>590</v>
      </c>
      <c r="V11" t="s">
        <v>591</v>
      </c>
      <c r="W11" t="s">
        <v>592</v>
      </c>
      <c r="X11" t="s">
        <v>593</v>
      </c>
      <c r="Y11" t="s">
        <v>594</v>
      </c>
      <c r="Z11" t="s">
        <v>595</v>
      </c>
      <c r="AA11" t="s">
        <v>596</v>
      </c>
      <c r="AB11" t="s">
        <v>597</v>
      </c>
    </row>
    <row r="12" spans="2:28" x14ac:dyDescent="0.25">
      <c r="E12" t="str" cm="1">
        <f t="array" ref="E12:E20">_xlfn._xlws.FILTER(Tabla2[ALUMNO],Tabla2[Das]="d","")</f>
        <v>Aldo Esteban Davalos Lomeli</v>
      </c>
      <c r="F12" t="str">
        <f>_xlfn.XLOOKUP(E12,Tabla2[ALUMNO],Tabla2[CURSO],0)</f>
        <v>Guitarra</v>
      </c>
      <c r="G12" t="str">
        <f>_xlfn.XLOOKUP(E12,Tabla2[ALUMNO],Tabla2[NUMERO CONTACTO],0)</f>
        <v>449 206 6791</v>
      </c>
      <c r="H12" t="str">
        <f>IF(AB12&lt;&gt;"",_xlfn.CONCAT(MID(UPPER(F12),1,4)," ",E12),"")</f>
        <v>GUIT Aldo Esteban Davalos Lomeli</v>
      </c>
      <c r="AB12" t="str">
        <f>IF(G12&lt;&gt;G11,G12,"")</f>
        <v>449 206 6791</v>
      </c>
    </row>
    <row r="13" spans="2:28" x14ac:dyDescent="0.25">
      <c r="E13" t="str">
        <v>Renata Zafara Escobar G</v>
      </c>
      <c r="F13" t="str">
        <f>_xlfn.XLOOKUP(E13,Tabla2[ALUMNO],Tabla2[CURSO],0)</f>
        <v>Guitarra</v>
      </c>
      <c r="G13" t="str">
        <f>_xlfn.XLOOKUP(E13,Tabla2[ALUMNO],Tabla2[NUMERO CONTACTO],0)</f>
        <v>449 432 5995</v>
      </c>
      <c r="H13" t="str">
        <f t="shared" ref="H13:H22" si="2">IF(AB13&lt;&gt;"",_xlfn.CONCAT(MID(UPPER(F13),1,4)," ",E13),"")</f>
        <v>GUIT Renata Zafara Escobar G</v>
      </c>
      <c r="AB13" t="str">
        <f t="shared" ref="AB13:AB25" si="3">IF(G13&lt;&gt;G12,G13,"")</f>
        <v>449 432 5995</v>
      </c>
    </row>
    <row r="14" spans="2:28" x14ac:dyDescent="0.25">
      <c r="E14" t="str">
        <v>Ana Lucía de Alba Fernández</v>
      </c>
      <c r="F14" t="str">
        <f>_xlfn.XLOOKUP(E14,Tabla2[ALUMNO],Tabla2[CURSO],0)</f>
        <v>Piano</v>
      </c>
      <c r="G14" t="str">
        <f>_xlfn.XLOOKUP(E14,Tabla2[ALUMNO],Tabla2[NUMERO CONTACTO],0)</f>
        <v>395 114 5953</v>
      </c>
      <c r="H14" t="str">
        <f t="shared" si="2"/>
        <v>PIAN Ana Lucía de Alba Fernández</v>
      </c>
      <c r="AB14" t="str">
        <f t="shared" si="3"/>
        <v>395 114 5953</v>
      </c>
    </row>
    <row r="15" spans="2:28" x14ac:dyDescent="0.25">
      <c r="E15" t="str">
        <v xml:space="preserve">Hernan de Alba </v>
      </c>
      <c r="F15" t="str">
        <f>_xlfn.XLOOKUP(E15,Tabla2[ALUMNO],Tabla2[CURSO],0)</f>
        <v>Piano</v>
      </c>
      <c r="G15" t="str">
        <f>_xlfn.XLOOKUP(E15,Tabla2[ALUMNO],Tabla2[NUMERO CONTACTO],0)</f>
        <v>395 114 5953</v>
      </c>
      <c r="H15" t="str">
        <f t="shared" si="2"/>
        <v/>
      </c>
      <c r="AB15" t="str">
        <f t="shared" si="3"/>
        <v/>
      </c>
    </row>
    <row r="16" spans="2:28" x14ac:dyDescent="0.25">
      <c r="E16" t="str">
        <v>Emilia Gonzalez Robles</v>
      </c>
      <c r="F16" t="str">
        <f>_xlfn.XLOOKUP(E16,Tabla2[ALUMNO],Tabla2[CURSO],0)</f>
        <v>Piano</v>
      </c>
      <c r="G16" t="str">
        <f>_xlfn.XLOOKUP(E16,Tabla2[ALUMNO],Tabla2[NUMERO CONTACTO],0)</f>
        <v>449 196 4990</v>
      </c>
      <c r="H16" t="str">
        <f t="shared" si="2"/>
        <v>PIAN Emilia Gonzalez Robles</v>
      </c>
      <c r="AB16" t="str">
        <f t="shared" si="3"/>
        <v>449 196 4990</v>
      </c>
    </row>
    <row r="17" spans="5:28" x14ac:dyDescent="0.25">
      <c r="E17" t="str">
        <v>Maria Jose Gonzalez Robles</v>
      </c>
      <c r="F17" t="str">
        <f>_xlfn.XLOOKUP(E17,Tabla2[ALUMNO],Tabla2[CURSO],0)</f>
        <v>Piano</v>
      </c>
      <c r="G17" t="str">
        <f>_xlfn.XLOOKUP(E17,Tabla2[ALUMNO],Tabla2[NUMERO CONTACTO],0)</f>
        <v>449 196 4990</v>
      </c>
      <c r="H17" t="str">
        <f t="shared" si="2"/>
        <v/>
      </c>
      <c r="AB17" t="str">
        <f t="shared" si="3"/>
        <v/>
      </c>
    </row>
    <row r="18" spans="5:28" x14ac:dyDescent="0.25">
      <c r="E18" t="str">
        <v>Luisa Gonzalez</v>
      </c>
      <c r="F18" t="str">
        <f>_xlfn.XLOOKUP(E18,Tabla2[ALUMNO],Tabla2[CURSO],0)</f>
        <v>Piano</v>
      </c>
      <c r="G18" t="str">
        <f>_xlfn.XLOOKUP(E18,Tabla2[ALUMNO],Tabla2[NUMERO CONTACTO],0)</f>
        <v>449 196 4990</v>
      </c>
      <c r="H18" t="str">
        <f t="shared" si="2"/>
        <v/>
      </c>
      <c r="AB18" t="str">
        <f t="shared" si="3"/>
        <v/>
      </c>
    </row>
    <row r="19" spans="5:28" x14ac:dyDescent="0.25">
      <c r="E19" t="str">
        <v>Diana Estefania Muñoz Hermosillo</v>
      </c>
      <c r="F19" t="str">
        <f>_xlfn.XLOOKUP(E19,Tabla2[ALUMNO],Tabla2[CURSO],0)</f>
        <v>Canto</v>
      </c>
      <c r="G19" t="str">
        <f>_xlfn.XLOOKUP(E19,Tabla2[ALUMNO],Tabla2[NUMERO CONTACTO],0)</f>
        <v>449 427 6194</v>
      </c>
      <c r="H19" t="str">
        <f t="shared" si="2"/>
        <v>CANT Diana Estefania Muñoz Hermosillo</v>
      </c>
      <c r="AB19" t="str">
        <f t="shared" si="3"/>
        <v>449 427 6194</v>
      </c>
    </row>
    <row r="20" spans="5:28" x14ac:dyDescent="0.25">
      <c r="E20" t="str">
        <v>Renata Zafara Escobar</v>
      </c>
      <c r="G20" t="str">
        <f>_xlfn.XLOOKUP(E20,Tabla2[ALUMNO],Tabla2[NUMERO CONTACTO],0)</f>
        <v>449 432 5995</v>
      </c>
      <c r="H20" t="str">
        <f t="shared" si="2"/>
        <v xml:space="preserve"> Renata Zafara Escobar</v>
      </c>
      <c r="AB20" t="str">
        <f t="shared" si="3"/>
        <v>449 432 5995</v>
      </c>
    </row>
    <row r="21" spans="5:28" x14ac:dyDescent="0.25">
      <c r="G21">
        <f>_xlfn.XLOOKUP(E21,Tabla2[ALUMNO],Tabla2[NUMERO CONTACTO],0)</f>
        <v>0</v>
      </c>
      <c r="H21" t="str">
        <f t="shared" si="2"/>
        <v xml:space="preserve"> </v>
      </c>
      <c r="AB21">
        <f t="shared" si="3"/>
        <v>0</v>
      </c>
    </row>
    <row r="22" spans="5:28" x14ac:dyDescent="0.25">
      <c r="G22">
        <f>_xlfn.XLOOKUP(E22,Tabla2[ALUMNO],Tabla2[NUMERO CONTACTO],0)</f>
        <v>0</v>
      </c>
      <c r="H22" t="str">
        <f t="shared" si="2"/>
        <v/>
      </c>
      <c r="AB22" t="str">
        <f t="shared" si="3"/>
        <v/>
      </c>
    </row>
    <row r="23" spans="5:28" x14ac:dyDescent="0.25">
      <c r="AB23" t="str">
        <f t="shared" si="3"/>
        <v/>
      </c>
    </row>
    <row r="24" spans="5:28" x14ac:dyDescent="0.25">
      <c r="AB24" t="str">
        <f t="shared" si="3"/>
        <v/>
      </c>
    </row>
    <row r="25" spans="5:28" x14ac:dyDescent="0.25">
      <c r="AB25" t="str">
        <f t="shared" si="3"/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A56CE-73DC-4ABB-9927-71750CFDC990}">
  <sheetPr codeName="Hoja3">
    <tabColor theme="4" tint="0.59999389629810485"/>
    <pageSetUpPr fitToPage="1"/>
  </sheetPr>
  <dimension ref="A1:T63"/>
  <sheetViews>
    <sheetView view="pageBreakPreview" zoomScale="85" zoomScaleNormal="100" zoomScaleSheetLayoutView="85" workbookViewId="0">
      <selection activeCell="A9" sqref="A9"/>
    </sheetView>
  </sheetViews>
  <sheetFormatPr baseColWidth="10" defaultRowHeight="15" x14ac:dyDescent="0.25"/>
  <cols>
    <col min="4" max="4" width="3" bestFit="1" customWidth="1"/>
    <col min="5" max="5" width="34.140625" bestFit="1" customWidth="1"/>
    <col min="6" max="6" width="17.42578125" customWidth="1"/>
    <col min="11" max="11" width="27.140625" bestFit="1" customWidth="1"/>
    <col min="16" max="16" width="35.5703125" bestFit="1" customWidth="1"/>
  </cols>
  <sheetData>
    <row r="1" spans="1:20" ht="21" x14ac:dyDescent="0.35">
      <c r="D1" s="287" t="str">
        <f ca="1">_xlfn.CONCAT("Status ", O7)</f>
        <v>Status Enero</v>
      </c>
      <c r="E1" s="287"/>
      <c r="F1" s="287"/>
      <c r="G1" s="287"/>
      <c r="H1" s="287"/>
      <c r="I1" s="287"/>
      <c r="J1" s="287"/>
      <c r="K1" s="287"/>
      <c r="L1" s="287"/>
      <c r="M1" s="287"/>
      <c r="O1" s="96"/>
    </row>
    <row r="2" spans="1:20" ht="15.75" x14ac:dyDescent="0.25">
      <c r="O2" s="274"/>
    </row>
    <row r="3" spans="1:20" x14ac:dyDescent="0.25">
      <c r="E3" t="s">
        <v>428</v>
      </c>
      <c r="G3" t="s">
        <v>369</v>
      </c>
      <c r="I3">
        <f>COUNTIF(Tabla2[Status],"Activo")</f>
        <v>45</v>
      </c>
      <c r="O3" t="str" cm="1">
        <f t="array" aca="1" ref="O3" ca="1">CELL("nombrearchivo",A1)</f>
        <v>C:\Users\LENOVO\Desktop\Years\2026\3-Enero-26\[3-Registro-2026.xlsm]Report</v>
      </c>
    </row>
    <row r="4" spans="1:20" x14ac:dyDescent="0.25">
      <c r="E4" s="180">
        <v>50</v>
      </c>
      <c r="F4">
        <f>E4*G7</f>
        <v>450</v>
      </c>
      <c r="G4" t="s">
        <v>370</v>
      </c>
      <c r="I4">
        <f>I3+M7-G7-R7</f>
        <v>40</v>
      </c>
      <c r="O4">
        <f ca="1">FIND("26\",O3,1)</f>
        <v>33</v>
      </c>
      <c r="P4">
        <f ca="1">FIND("-26",O3,1)</f>
        <v>43</v>
      </c>
    </row>
    <row r="5" spans="1:20" x14ac:dyDescent="0.25">
      <c r="O5" t="str">
        <f ca="1">MID(O3,O4+3,P4-O4-3)</f>
        <v>3-Enero</v>
      </c>
      <c r="P5">
        <f ca="1">FIND("-",O5,1)</f>
        <v>2</v>
      </c>
    </row>
    <row r="7" spans="1:20" x14ac:dyDescent="0.25">
      <c r="A7" s="178">
        <v>-1</v>
      </c>
      <c r="B7" s="178" t="s">
        <v>395</v>
      </c>
      <c r="C7" t="s">
        <v>462</v>
      </c>
      <c r="E7" t="s">
        <v>371</v>
      </c>
      <c r="G7">
        <f>COUNTIF(Tabla4[Ingresos],"&lt;&gt;"&amp;"0")</f>
        <v>9</v>
      </c>
      <c r="K7" t="s">
        <v>372</v>
      </c>
      <c r="M7">
        <f>COUNTIF(Tabla13[Egresos],"&lt;&gt;"&amp;"0")</f>
        <v>4</v>
      </c>
      <c r="O7" t="str">
        <f ca="1">MID(O5,P5+1,LEN(O5))</f>
        <v>Enero</v>
      </c>
    </row>
    <row r="8" spans="1:20" x14ac:dyDescent="0.25">
      <c r="C8" s="175"/>
      <c r="D8" t="s">
        <v>373</v>
      </c>
      <c r="E8" t="s">
        <v>374</v>
      </c>
      <c r="F8" t="s">
        <v>127</v>
      </c>
      <c r="G8" t="s">
        <v>155</v>
      </c>
      <c r="J8" t="s">
        <v>373</v>
      </c>
      <c r="K8" t="s">
        <v>375</v>
      </c>
      <c r="L8" t="s">
        <v>127</v>
      </c>
      <c r="M8" t="s">
        <v>155</v>
      </c>
      <c r="O8" t="s">
        <v>373</v>
      </c>
      <c r="P8" t="s">
        <v>462</v>
      </c>
      <c r="Q8" t="s">
        <v>127</v>
      </c>
      <c r="R8" t="s">
        <v>155</v>
      </c>
    </row>
    <row r="9" spans="1:20" x14ac:dyDescent="0.25">
      <c r="A9" s="179" t="str" cm="1">
        <f t="array" ref="A9:A12">_xlfn._xlws.FILTER(Tabla2[ALUMNO],Tabla2[Das]=A7,"")</f>
        <v>Jamie Alejandra Serrano Macías ASM</v>
      </c>
      <c r="B9" s="179" t="str" cm="1">
        <f t="array" ref="B9:B17">_xlfn._xlws.FILTER(Tabla2[ALUMNO],Tabla2[Das]=B7,"")</f>
        <v>Aldo Esteban Davalos Lomeli</v>
      </c>
      <c r="C9" s="179" t="str" cm="1">
        <f t="array" ref="C9">_xlfn._xlws.FILTER(Tabla2[ALUMNO],Tabla2[Das]=C7,"")</f>
        <v/>
      </c>
      <c r="D9" s="84">
        <v>1</v>
      </c>
      <c r="E9" s="7" t="str">
        <f>B9</f>
        <v>Aldo Esteban Davalos Lomeli</v>
      </c>
      <c r="F9" s="149" t="str">
        <f>_xlfn.XLOOKUP(Tabla4[[#This Row],[Ingresos]],Tabla2[ALUMNO],Tabla2[PROFESOR],"")</f>
        <v>Alex</v>
      </c>
      <c r="G9" s="149" t="str">
        <f>_xlfn.XLOOKUP(Tabla4[[#This Row],[Ingresos]],Tabla2[ALUMNO],Tabla2[CURSO],"")</f>
        <v>Guitarra</v>
      </c>
      <c r="H9" s="150"/>
      <c r="J9" s="84">
        <v>1</v>
      </c>
      <c r="K9" s="7" t="str">
        <f>A9</f>
        <v>Jamie Alejandra Serrano Macías ASM</v>
      </c>
      <c r="L9" s="149" t="str">
        <f>_xlfn.XLOOKUP(Tabla13[[#This Row],[Egresos]],Tabla2[ALUMNO],Tabla2[PROFESOR],"")</f>
        <v>Alex</v>
      </c>
      <c r="M9" s="149" t="str">
        <f>_xlfn.XLOOKUP(Tabla13[[#This Row],[Egresos]],Tabla2[ALUMNO],Tabla2[CURSO],"")</f>
        <v>Ensamble</v>
      </c>
      <c r="O9" s="84">
        <v>1</v>
      </c>
      <c r="P9" s="7" t="str">
        <f>C9</f>
        <v/>
      </c>
      <c r="Q9" s="149" t="str">
        <f>_xlfn.XLOOKUP(Tabla1314[[#This Row],[R]],Tabla2[ALUMNO],Tabla2[PROFESOR],"")</f>
        <v/>
      </c>
      <c r="R9" s="149" t="str">
        <f>_xlfn.XLOOKUP(Tabla1314[[#This Row],[R]],Tabla2[ALUMNO],Tabla2[CURSO],"")</f>
        <v/>
      </c>
      <c r="T9" t="str" cm="1">
        <f t="array" ref="T9:T63">_xlfn._xlws.FILTER(Tabla2[ALUMNO],Tabla2[MÉTODO]="Yamaha","")</f>
        <v>Andrea Ávila Alanis</v>
      </c>
    </row>
    <row r="10" spans="1:20" x14ac:dyDescent="0.25">
      <c r="A10" s="178" t="str">
        <v>Konzo Saki</v>
      </c>
      <c r="B10" s="178" t="str">
        <v>Renata Zafara Escobar G</v>
      </c>
      <c r="D10" s="84">
        <v>2</v>
      </c>
      <c r="E10" s="7" t="str">
        <f t="shared" ref="E10:E22" si="0">B10</f>
        <v>Renata Zafara Escobar G</v>
      </c>
      <c r="F10" s="149" t="str">
        <f>_xlfn.XLOOKUP(Tabla4[[#This Row],[Ingresos]],Tabla2[ALUMNO],Tabla2[PROFESOR],"")</f>
        <v>Alex</v>
      </c>
      <c r="G10" s="149" t="str">
        <f>_xlfn.XLOOKUP(Tabla4[[#This Row],[Ingresos]],Tabla2[ALUMNO],Tabla2[CURSO],"")</f>
        <v>Guitarra</v>
      </c>
      <c r="H10" s="150"/>
      <c r="J10" s="84">
        <f>J9+1</f>
        <v>2</v>
      </c>
      <c r="K10" s="7" t="str">
        <f t="shared" ref="K10:K25" si="1">A10</f>
        <v>Konzo Saki</v>
      </c>
      <c r="L10" s="149" t="str">
        <f>_xlfn.XLOOKUP(Tabla13[[#This Row],[Egresos]],Tabla2[ALUMNO],Tabla2[PROFESOR],"")</f>
        <v>Fernando</v>
      </c>
      <c r="M10" s="149" t="str">
        <f>_xlfn.XLOOKUP(Tabla13[[#This Row],[Egresos]],Tabla2[ALUMNO],Tabla2[CURSO],"")</f>
        <v>Piano</v>
      </c>
      <c r="O10" s="84">
        <f>O9+1</f>
        <v>2</v>
      </c>
      <c r="P10" s="7">
        <f t="shared" ref="P10:P32" si="2">C10</f>
        <v>0</v>
      </c>
      <c r="Q10" s="149" t="str">
        <f>_xlfn.XLOOKUP(Tabla1314[[#This Row],[R]],Tabla2[ALUMNO],Tabla2[PROFESOR],"")</f>
        <v/>
      </c>
      <c r="R10" s="149" t="str">
        <f>_xlfn.XLOOKUP(Tabla1314[[#This Row],[R]],Tabla2[ALUMNO],Tabla2[CURSO],"")</f>
        <v/>
      </c>
      <c r="T10" t="str">
        <v>Rodrigo Dominguez Lopez</v>
      </c>
    </row>
    <row r="11" spans="1:20" x14ac:dyDescent="0.25">
      <c r="A11" s="178" t="str">
        <v>Florentina Serna Guerrero</v>
      </c>
      <c r="B11" s="178" t="str">
        <v>Ana Lucía de Alba Fernández</v>
      </c>
      <c r="D11" s="84">
        <f>D10+1</f>
        <v>3</v>
      </c>
      <c r="E11" s="7" t="str">
        <f t="shared" si="0"/>
        <v>Ana Lucía de Alba Fernández</v>
      </c>
      <c r="F11" s="149" t="str">
        <f>_xlfn.XLOOKUP(Tabla4[[#This Row],[Ingresos]],Tabla2[ALUMNO],Tabla2[PROFESOR],"")</f>
        <v>Estephanie</v>
      </c>
      <c r="G11" s="149" t="str">
        <f>_xlfn.XLOOKUP(Tabla4[[#This Row],[Ingresos]],Tabla2[ALUMNO],Tabla2[CURSO],"")</f>
        <v>Piano</v>
      </c>
      <c r="H11" s="150"/>
      <c r="J11" s="84">
        <f t="shared" ref="J11:J22" si="3">J10+1</f>
        <v>3</v>
      </c>
      <c r="K11" s="7" t="str">
        <f t="shared" si="1"/>
        <v>Florentina Serna Guerrero</v>
      </c>
      <c r="L11" s="149" t="str">
        <f>_xlfn.XLOOKUP(Tabla13[[#This Row],[Egresos]],Tabla2[ALUMNO],Tabla2[PROFESOR],"")</f>
        <v>Pavel</v>
      </c>
      <c r="M11" s="149" t="str">
        <f>_xlfn.XLOOKUP(Tabla13[[#This Row],[Egresos]],Tabla2[ALUMNO],Tabla2[CURSO],"")</f>
        <v>Canto</v>
      </c>
      <c r="O11" s="84">
        <f t="shared" ref="O11:O32" si="4">O10+1</f>
        <v>3</v>
      </c>
      <c r="P11" s="7">
        <f t="shared" si="2"/>
        <v>0</v>
      </c>
      <c r="Q11" s="149" t="str">
        <f>_xlfn.XLOOKUP(Tabla1314[[#This Row],[R]],Tabla2[ALUMNO],Tabla2[PROFESOR],"")</f>
        <v/>
      </c>
      <c r="R11" s="149" t="str">
        <f>_xlfn.XLOOKUP(Tabla1314[[#This Row],[R]],Tabla2[ALUMNO],Tabla2[CURSO],"")</f>
        <v/>
      </c>
      <c r="T11" t="str">
        <v>Jose Manuel Gonzalez Hijo</v>
      </c>
    </row>
    <row r="12" spans="1:20" x14ac:dyDescent="0.25">
      <c r="A12" s="178" t="str">
        <v>Irma Mijares</v>
      </c>
      <c r="B12" s="178" t="str">
        <v xml:space="preserve">Hernan de Alba </v>
      </c>
      <c r="D12" s="84">
        <f t="shared" ref="D12:D22" si="5">D11+1</f>
        <v>4</v>
      </c>
      <c r="E12" s="7" t="str">
        <f t="shared" si="0"/>
        <v xml:space="preserve">Hernan de Alba </v>
      </c>
      <c r="F12" s="149" t="str">
        <f>_xlfn.XLOOKUP(Tabla4[[#This Row],[Ingresos]],Tabla2[ALUMNO],Tabla2[PROFESOR],"")</f>
        <v>Estephanie</v>
      </c>
      <c r="G12" s="149" t="str">
        <f>_xlfn.XLOOKUP(Tabla4[[#This Row],[Ingresos]],Tabla2[ALUMNO],Tabla2[CURSO],"")</f>
        <v>Piano</v>
      </c>
      <c r="H12" s="150"/>
      <c r="J12" s="84">
        <f t="shared" si="3"/>
        <v>4</v>
      </c>
      <c r="K12" s="7" t="str">
        <f t="shared" si="1"/>
        <v>Irma Mijares</v>
      </c>
      <c r="L12" s="149" t="str">
        <f>_xlfn.XLOOKUP(Tabla13[[#This Row],[Egresos]],Tabla2[ALUMNO],Tabla2[PROFESOR],"")</f>
        <v>Fernando</v>
      </c>
      <c r="M12" s="149" t="str">
        <f>_xlfn.XLOOKUP(Tabla13[[#This Row],[Egresos]],Tabla2[ALUMNO],Tabla2[CURSO],"")</f>
        <v>Piano</v>
      </c>
      <c r="O12" s="84">
        <f t="shared" si="4"/>
        <v>4</v>
      </c>
      <c r="P12" s="7">
        <f t="shared" si="2"/>
        <v>0</v>
      </c>
      <c r="Q12" s="149" t="str">
        <f>_xlfn.XLOOKUP(Tabla1314[[#This Row],[R]],Tabla2[ALUMNO],Tabla2[PROFESOR],"")</f>
        <v/>
      </c>
      <c r="R12" s="149" t="str">
        <f>_xlfn.XLOOKUP(Tabla1314[[#This Row],[R]],Tabla2[ALUMNO],Tabla2[CURSO],"")</f>
        <v/>
      </c>
      <c r="T12" t="str">
        <v>Raudel Ivan Parga Rodríguez</v>
      </c>
    </row>
    <row r="13" spans="1:20" x14ac:dyDescent="0.25">
      <c r="A13" s="178"/>
      <c r="B13" s="178" t="str">
        <v>Emilia Gonzalez Robles</v>
      </c>
      <c r="D13" s="84">
        <f t="shared" si="5"/>
        <v>5</v>
      </c>
      <c r="E13" s="7" t="str">
        <f t="shared" si="0"/>
        <v>Emilia Gonzalez Robles</v>
      </c>
      <c r="F13" s="149" t="str">
        <f>_xlfn.XLOOKUP(Tabla4[[#This Row],[Ingresos]],Tabla2[ALUMNO],Tabla2[PROFESOR],"")</f>
        <v>Fernando</v>
      </c>
      <c r="G13" s="149" t="str">
        <f>_xlfn.XLOOKUP(Tabla4[[#This Row],[Ingresos]],Tabla2[ALUMNO],Tabla2[CURSO],"")</f>
        <v>Piano</v>
      </c>
      <c r="H13" s="150"/>
      <c r="J13" s="84">
        <f t="shared" si="3"/>
        <v>5</v>
      </c>
      <c r="K13" s="7">
        <f t="shared" si="1"/>
        <v>0</v>
      </c>
      <c r="L13" s="149" t="str">
        <f>_xlfn.XLOOKUP(Tabla13[[#This Row],[Egresos]],Tabla2[ALUMNO],Tabla2[PROFESOR],"")</f>
        <v/>
      </c>
      <c r="M13" s="149" t="str">
        <f>_xlfn.XLOOKUP(Tabla13[[#This Row],[Egresos]],Tabla2[ALUMNO],Tabla2[CURSO],"")</f>
        <v/>
      </c>
      <c r="O13" s="84">
        <f t="shared" si="4"/>
        <v>5</v>
      </c>
      <c r="P13" s="7">
        <f t="shared" si="2"/>
        <v>0</v>
      </c>
      <c r="Q13" s="149" t="str">
        <f>_xlfn.XLOOKUP(Tabla1314[[#This Row],[R]],Tabla2[ALUMNO],Tabla2[PROFESOR],"")</f>
        <v/>
      </c>
      <c r="R13" s="149" t="str">
        <f>_xlfn.XLOOKUP(Tabla1314[[#This Row],[R]],Tabla2[ALUMNO],Tabla2[CURSO],"")</f>
        <v/>
      </c>
      <c r="T13" t="str">
        <v>David Antonio Zavala Torres</v>
      </c>
    </row>
    <row r="14" spans="1:20" x14ac:dyDescent="0.25">
      <c r="A14" s="178"/>
      <c r="B14" s="178" t="str">
        <v>Maria Jose Gonzalez Robles</v>
      </c>
      <c r="D14" s="84">
        <f t="shared" si="5"/>
        <v>6</v>
      </c>
      <c r="E14" s="7" t="str">
        <f t="shared" si="0"/>
        <v>Maria Jose Gonzalez Robles</v>
      </c>
      <c r="F14" s="149" t="str">
        <f>_xlfn.XLOOKUP(Tabla4[[#This Row],[Ingresos]],Tabla2[ALUMNO],Tabla2[PROFESOR],"")</f>
        <v>Fernando</v>
      </c>
      <c r="G14" s="149" t="str">
        <f>_xlfn.XLOOKUP(Tabla4[[#This Row],[Ingresos]],Tabla2[ALUMNO],Tabla2[CURSO],"")</f>
        <v>Piano</v>
      </c>
      <c r="H14" s="150"/>
      <c r="J14" s="84">
        <f t="shared" si="3"/>
        <v>6</v>
      </c>
      <c r="K14" s="7">
        <f t="shared" si="1"/>
        <v>0</v>
      </c>
      <c r="L14" s="149" t="str">
        <f>_xlfn.XLOOKUP(Tabla13[[#This Row],[Egresos]],Tabla2[ALUMNO],Tabla2[PROFESOR],"")</f>
        <v/>
      </c>
      <c r="M14" s="149" t="str">
        <f>_xlfn.XLOOKUP(Tabla13[[#This Row],[Egresos]],Tabla2[ALUMNO],Tabla2[CURSO],"")</f>
        <v/>
      </c>
      <c r="O14" s="84">
        <f t="shared" si="4"/>
        <v>6</v>
      </c>
      <c r="P14" s="7">
        <f t="shared" si="2"/>
        <v>0</v>
      </c>
      <c r="Q14" s="149" t="str">
        <f>_xlfn.XLOOKUP(Tabla1314[[#This Row],[R]],Tabla2[ALUMNO],Tabla2[PROFESOR],"")</f>
        <v/>
      </c>
      <c r="R14" s="149" t="str">
        <f>_xlfn.XLOOKUP(Tabla1314[[#This Row],[R]],Tabla2[ALUMNO],Tabla2[CURSO],"")</f>
        <v/>
      </c>
      <c r="T14" t="str">
        <v>Jose Manuel Gonzalez Papá</v>
      </c>
    </row>
    <row r="15" spans="1:20" x14ac:dyDescent="0.25">
      <c r="B15" t="str">
        <v>Luisa Gonzalez</v>
      </c>
      <c r="D15" s="84">
        <f t="shared" si="5"/>
        <v>7</v>
      </c>
      <c r="E15" s="7" t="str">
        <f t="shared" si="0"/>
        <v>Luisa Gonzalez</v>
      </c>
      <c r="F15" s="149" t="str">
        <f>_xlfn.XLOOKUP(Tabla4[[#This Row],[Ingresos]],Tabla2[ALUMNO],Tabla2[PROFESOR],"")</f>
        <v>Fernando</v>
      </c>
      <c r="G15" s="149" t="str">
        <f>_xlfn.XLOOKUP(Tabla4[[#This Row],[Ingresos]],Tabla2[ALUMNO],Tabla2[CURSO],"")</f>
        <v>Piano</v>
      </c>
      <c r="H15" s="150"/>
      <c r="J15" s="84">
        <f t="shared" si="3"/>
        <v>7</v>
      </c>
      <c r="K15" s="7">
        <f t="shared" si="1"/>
        <v>0</v>
      </c>
      <c r="L15" s="149" t="str">
        <f>_xlfn.XLOOKUP(Tabla13[[#This Row],[Egresos]],Tabla2[ALUMNO],Tabla2[PROFESOR],"")</f>
        <v/>
      </c>
      <c r="M15" s="149" t="str">
        <f>_xlfn.XLOOKUP(Tabla13[[#This Row],[Egresos]],Tabla2[ALUMNO],Tabla2[CURSO],"")</f>
        <v/>
      </c>
      <c r="O15" s="84">
        <f t="shared" si="4"/>
        <v>7</v>
      </c>
      <c r="P15" s="7">
        <f t="shared" si="2"/>
        <v>0</v>
      </c>
      <c r="Q15" s="149" t="str">
        <f>_xlfn.XLOOKUP(Tabla1314[[#This Row],[R]],Tabla2[ALUMNO],Tabla2[PROFESOR],"")</f>
        <v/>
      </c>
      <c r="R15" s="149" t="str">
        <f>_xlfn.XLOOKUP(Tabla1314[[#This Row],[R]],Tabla2[ALUMNO],Tabla2[CURSO],"")</f>
        <v/>
      </c>
      <c r="T15" t="str">
        <v>Abigail Miranda Sanchez</v>
      </c>
    </row>
    <row r="16" spans="1:20" x14ac:dyDescent="0.25">
      <c r="B16" t="str">
        <v>Diana Estefania Muñoz Hermosillo</v>
      </c>
      <c r="D16" s="84">
        <f t="shared" si="5"/>
        <v>8</v>
      </c>
      <c r="E16" s="7" t="str">
        <f t="shared" si="0"/>
        <v>Diana Estefania Muñoz Hermosillo</v>
      </c>
      <c r="F16" s="149" t="str">
        <f>_xlfn.XLOOKUP(Tabla4[[#This Row],[Ingresos]],Tabla2[ALUMNO],Tabla2[PROFESOR],"")</f>
        <v>Saira</v>
      </c>
      <c r="G16" s="149" t="str">
        <f>_xlfn.XLOOKUP(Tabla4[[#This Row],[Ingresos]],Tabla2[ALUMNO],Tabla2[CURSO],"")</f>
        <v>Canto</v>
      </c>
      <c r="H16" s="150"/>
      <c r="J16" s="84">
        <f t="shared" si="3"/>
        <v>8</v>
      </c>
      <c r="K16" s="7">
        <f t="shared" si="1"/>
        <v>0</v>
      </c>
      <c r="L16" s="149" t="str">
        <f>_xlfn.XLOOKUP(Tabla13[[#This Row],[Egresos]],Tabla2[ALUMNO],Tabla2[PROFESOR],"")</f>
        <v/>
      </c>
      <c r="M16" s="149" t="str">
        <f>_xlfn.XLOOKUP(Tabla13[[#This Row],[Egresos]],Tabla2[ALUMNO],Tabla2[CURSO],"")</f>
        <v/>
      </c>
      <c r="O16" s="84">
        <f t="shared" si="4"/>
        <v>8</v>
      </c>
      <c r="P16" s="7">
        <f t="shared" si="2"/>
        <v>0</v>
      </c>
      <c r="Q16" s="149" t="str">
        <f>_xlfn.XLOOKUP(Tabla1314[[#This Row],[R]],Tabla2[ALUMNO],Tabla2[PROFESOR],"")</f>
        <v/>
      </c>
      <c r="R16" s="149" t="str">
        <f>_xlfn.XLOOKUP(Tabla1314[[#This Row],[R]],Tabla2[ALUMNO],Tabla2[CURSO],"")</f>
        <v/>
      </c>
      <c r="T16" t="str">
        <v>Oscar Alejandro Mena Rodríguez</v>
      </c>
    </row>
    <row r="17" spans="2:20" x14ac:dyDescent="0.25">
      <c r="B17" t="str">
        <v>Renata Zafara Escobar</v>
      </c>
      <c r="D17" s="84">
        <f t="shared" si="5"/>
        <v>9</v>
      </c>
      <c r="E17" s="7" t="str">
        <f t="shared" si="0"/>
        <v>Renata Zafara Escobar</v>
      </c>
      <c r="F17" s="149" t="str">
        <f>_xlfn.XLOOKUP(Tabla4[[#This Row],[Ingresos]],Tabla2[ALUMNO],Tabla2[PROFESOR],"")</f>
        <v>Saira</v>
      </c>
      <c r="G17" s="149" t="str">
        <f>_xlfn.XLOOKUP(Tabla4[[#This Row],[Ingresos]],Tabla2[ALUMNO],Tabla2[CURSO],"")</f>
        <v>Canto</v>
      </c>
      <c r="H17" s="150"/>
      <c r="J17" s="84">
        <f t="shared" si="3"/>
        <v>9</v>
      </c>
      <c r="K17" s="7">
        <f t="shared" si="1"/>
        <v>0</v>
      </c>
      <c r="L17" s="149" t="str">
        <f>_xlfn.XLOOKUP(Tabla13[[#This Row],[Egresos]],Tabla2[ALUMNO],Tabla2[PROFESOR],"")</f>
        <v/>
      </c>
      <c r="M17" s="149" t="str">
        <f>_xlfn.XLOOKUP(Tabla13[[#This Row],[Egresos]],Tabla2[ALUMNO],Tabla2[CURSO],"")</f>
        <v/>
      </c>
      <c r="O17" s="84">
        <f t="shared" si="4"/>
        <v>9</v>
      </c>
      <c r="P17" s="7">
        <f t="shared" si="2"/>
        <v>0</v>
      </c>
      <c r="Q17" s="149" t="str">
        <f>_xlfn.XLOOKUP(Tabla1314[[#This Row],[R]],Tabla2[ALUMNO],Tabla2[PROFESOR],"")</f>
        <v/>
      </c>
      <c r="R17" s="149" t="str">
        <f>_xlfn.XLOOKUP(Tabla1314[[#This Row],[R]],Tabla2[ALUMNO],Tabla2[CURSO],"")</f>
        <v/>
      </c>
      <c r="T17" t="str">
        <v>Matteo Macías Nemer</v>
      </c>
    </row>
    <row r="18" spans="2:20" x14ac:dyDescent="0.25">
      <c r="D18" s="84">
        <f t="shared" si="5"/>
        <v>10</v>
      </c>
      <c r="E18" s="7">
        <f t="shared" si="0"/>
        <v>0</v>
      </c>
      <c r="F18" s="149" t="str">
        <f>_xlfn.XLOOKUP(Tabla4[[#This Row],[Ingresos]],Tabla2[ALUMNO],Tabla2[PROFESOR],"")</f>
        <v/>
      </c>
      <c r="G18" s="149" t="str">
        <f>_xlfn.XLOOKUP(Tabla4[[#This Row],[Ingresos]],Tabla2[ALUMNO],Tabla2[CURSO],"")</f>
        <v/>
      </c>
      <c r="H18" s="150"/>
      <c r="J18" s="84">
        <f t="shared" si="3"/>
        <v>10</v>
      </c>
      <c r="K18" s="7">
        <f t="shared" si="1"/>
        <v>0</v>
      </c>
      <c r="L18" s="149" t="str">
        <f>_xlfn.XLOOKUP(Tabla13[[#This Row],[Egresos]],Tabla2[ALUMNO],Tabla2[PROFESOR],"")</f>
        <v/>
      </c>
      <c r="M18" s="149" t="str">
        <f>_xlfn.XLOOKUP(Tabla13[[#This Row],[Egresos]],Tabla2[ALUMNO],Tabla2[CURSO],"")</f>
        <v/>
      </c>
      <c r="O18" s="84">
        <f t="shared" si="4"/>
        <v>10</v>
      </c>
      <c r="P18" s="7">
        <f t="shared" si="2"/>
        <v>0</v>
      </c>
      <c r="Q18" s="149" t="str">
        <f>_xlfn.XLOOKUP(Tabla1314[[#This Row],[R]],Tabla2[ALUMNO],Tabla2[PROFESOR],"")</f>
        <v/>
      </c>
      <c r="R18" s="149" t="str">
        <f>_xlfn.XLOOKUP(Tabla1314[[#This Row],[R]],Tabla2[ALUMNO],Tabla2[CURSO],"")</f>
        <v/>
      </c>
      <c r="T18" t="str">
        <v>Luis Fernando Olmos Malo</v>
      </c>
    </row>
    <row r="19" spans="2:20" x14ac:dyDescent="0.25">
      <c r="D19" s="84">
        <f t="shared" si="5"/>
        <v>11</v>
      </c>
      <c r="E19" s="7">
        <f t="shared" si="0"/>
        <v>0</v>
      </c>
      <c r="F19" s="149" t="str">
        <f>_xlfn.XLOOKUP(Tabla4[[#This Row],[Ingresos]],Tabla2[ALUMNO],Tabla2[PROFESOR],"")</f>
        <v/>
      </c>
      <c r="G19" s="149" t="str">
        <f>_xlfn.XLOOKUP(Tabla4[[#This Row],[Ingresos]],Tabla2[ALUMNO],Tabla2[CURSO],"")</f>
        <v/>
      </c>
      <c r="H19" s="150"/>
      <c r="J19" s="84">
        <f t="shared" si="3"/>
        <v>11</v>
      </c>
      <c r="K19" s="7">
        <f t="shared" si="1"/>
        <v>0</v>
      </c>
      <c r="L19" s="149" t="str">
        <f>_xlfn.XLOOKUP(Tabla13[[#This Row],[Egresos]],Tabla2[ALUMNO],Tabla2[PROFESOR],"")</f>
        <v/>
      </c>
      <c r="M19" s="149" t="str">
        <f>_xlfn.XLOOKUP(Tabla13[[#This Row],[Egresos]],Tabla2[ALUMNO],Tabla2[CURSO],"")</f>
        <v/>
      </c>
      <c r="O19" s="84">
        <f t="shared" si="4"/>
        <v>11</v>
      </c>
      <c r="P19" s="7">
        <f t="shared" si="2"/>
        <v>0</v>
      </c>
      <c r="Q19" s="149" t="str">
        <f>_xlfn.XLOOKUP(Tabla1314[[#This Row],[R]],Tabla2[ALUMNO],Tabla2[PROFESOR],"")</f>
        <v/>
      </c>
      <c r="R19" s="149" t="str">
        <f>_xlfn.XLOOKUP(Tabla1314[[#This Row],[R]],Tabla2[ALUMNO],Tabla2[CURSO],"")</f>
        <v/>
      </c>
      <c r="T19" t="str">
        <v>Santiago Caldera Torres</v>
      </c>
    </row>
    <row r="20" spans="2:20" x14ac:dyDescent="0.25">
      <c r="D20" s="84">
        <f t="shared" si="5"/>
        <v>12</v>
      </c>
      <c r="E20" s="7">
        <f t="shared" si="0"/>
        <v>0</v>
      </c>
      <c r="F20" s="149" t="str">
        <f>_xlfn.XLOOKUP(Tabla4[[#This Row],[Ingresos]],Tabla2[ALUMNO],Tabla2[PROFESOR],"")</f>
        <v/>
      </c>
      <c r="G20" s="149" t="str">
        <f>_xlfn.XLOOKUP(Tabla4[[#This Row],[Ingresos]],Tabla2[ALUMNO],Tabla2[CURSO],"")</f>
        <v/>
      </c>
      <c r="H20" s="150"/>
      <c r="J20" s="84">
        <f t="shared" si="3"/>
        <v>12</v>
      </c>
      <c r="K20" s="7">
        <f t="shared" si="1"/>
        <v>0</v>
      </c>
      <c r="L20" s="149" t="str">
        <f>_xlfn.XLOOKUP(Tabla13[[#This Row],[Egresos]],Tabla2[ALUMNO],Tabla2[PROFESOR],"")</f>
        <v/>
      </c>
      <c r="M20" s="149" t="str">
        <f>_xlfn.XLOOKUP(Tabla13[[#This Row],[Egresos]],Tabla2[ALUMNO],Tabla2[CURSO],"")</f>
        <v/>
      </c>
      <c r="O20" s="84">
        <f t="shared" si="4"/>
        <v>12</v>
      </c>
      <c r="P20" s="7">
        <f t="shared" si="2"/>
        <v>0</v>
      </c>
      <c r="Q20" s="149" t="str">
        <f>_xlfn.XLOOKUP(Tabla1314[[#This Row],[R]],Tabla2[ALUMNO],Tabla2[PROFESOR],"")</f>
        <v/>
      </c>
      <c r="R20" s="149" t="str">
        <f>_xlfn.XLOOKUP(Tabla1314[[#This Row],[R]],Tabla2[ALUMNO],Tabla2[CURSO],"")</f>
        <v/>
      </c>
      <c r="T20" t="str">
        <v xml:space="preserve">Carlos Santiago Samaniego Osuna </v>
      </c>
    </row>
    <row r="21" spans="2:20" x14ac:dyDescent="0.25">
      <c r="D21" s="84">
        <f t="shared" si="5"/>
        <v>13</v>
      </c>
      <c r="E21" s="7">
        <f t="shared" si="0"/>
        <v>0</v>
      </c>
      <c r="F21" s="149" t="str">
        <f>_xlfn.XLOOKUP(Tabla4[[#This Row],[Ingresos]],Tabla2[ALUMNO],Tabla2[PROFESOR],"")</f>
        <v/>
      </c>
      <c r="G21" s="149" t="str">
        <f>_xlfn.XLOOKUP(Tabla4[[#This Row],[Ingresos]],Tabla2[ALUMNO],Tabla2[CURSO],"")</f>
        <v/>
      </c>
      <c r="H21" s="151"/>
      <c r="J21" s="84">
        <f t="shared" si="3"/>
        <v>13</v>
      </c>
      <c r="K21" s="7">
        <f t="shared" si="1"/>
        <v>0</v>
      </c>
      <c r="L21" s="149" t="str">
        <f>_xlfn.XLOOKUP(Tabla13[[#This Row],[Egresos]],Tabla2[ALUMNO],Tabla2[PROFESOR],"")</f>
        <v/>
      </c>
      <c r="M21" s="149" t="str">
        <f>_xlfn.XLOOKUP(Tabla13[[#This Row],[Egresos]],Tabla2[ALUMNO],Tabla2[CURSO],"")</f>
        <v/>
      </c>
      <c r="O21" s="84">
        <f t="shared" si="4"/>
        <v>13</v>
      </c>
      <c r="P21" s="7">
        <f t="shared" si="2"/>
        <v>0</v>
      </c>
      <c r="Q21" s="149" t="str">
        <f>_xlfn.XLOOKUP(Tabla1314[[#This Row],[R]],Tabla2[ALUMNO],Tabla2[PROFESOR],"")</f>
        <v/>
      </c>
      <c r="R21" s="149" t="str">
        <f>_xlfn.XLOOKUP(Tabla1314[[#This Row],[R]],Tabla2[ALUMNO],Tabla2[CURSO],"")</f>
        <v/>
      </c>
      <c r="T21" t="str">
        <v>Pablo Mateo Martínez Juarez</v>
      </c>
    </row>
    <row r="22" spans="2:20" x14ac:dyDescent="0.25">
      <c r="D22" s="84">
        <f t="shared" si="5"/>
        <v>14</v>
      </c>
      <c r="E22" s="7">
        <f t="shared" si="0"/>
        <v>0</v>
      </c>
      <c r="F22" s="149" t="str">
        <f>_xlfn.XLOOKUP(Tabla4[[#This Row],[Ingresos]],Tabla2[ALUMNO],Tabla2[PROFESOR],"")</f>
        <v/>
      </c>
      <c r="G22" s="149" t="str">
        <f>_xlfn.XLOOKUP(Tabla4[[#This Row],[Ingresos]],Tabla2[ALUMNO],Tabla2[CURSO],"")</f>
        <v/>
      </c>
      <c r="H22" s="151"/>
      <c r="J22" s="84">
        <f t="shared" si="3"/>
        <v>14</v>
      </c>
      <c r="K22" s="7">
        <f t="shared" si="1"/>
        <v>0</v>
      </c>
      <c r="L22" s="149" t="str">
        <f>_xlfn.XLOOKUP(Tabla13[[#This Row],[Egresos]],Tabla2[ALUMNO],Tabla2[PROFESOR],"")</f>
        <v/>
      </c>
      <c r="M22" s="149" t="str">
        <f>_xlfn.XLOOKUP(Tabla13[[#This Row],[Egresos]],Tabla2[ALUMNO],Tabla2[CURSO],"")</f>
        <v/>
      </c>
      <c r="O22" s="84">
        <f t="shared" si="4"/>
        <v>14</v>
      </c>
      <c r="P22" s="7">
        <f t="shared" si="2"/>
        <v>0</v>
      </c>
      <c r="Q22" s="149" t="str">
        <f>_xlfn.XLOOKUP(Tabla1314[[#This Row],[R]],Tabla2[ALUMNO],Tabla2[PROFESOR],"")</f>
        <v/>
      </c>
      <c r="R22" s="149" t="str">
        <f>_xlfn.XLOOKUP(Tabla1314[[#This Row],[R]],Tabla2[ALUMNO],Tabla2[CURSO],"")</f>
        <v/>
      </c>
      <c r="T22" t="str">
        <v>César Andrés Montiel Flores</v>
      </c>
    </row>
    <row r="23" spans="2:20" x14ac:dyDescent="0.25">
      <c r="J23" s="148"/>
      <c r="K23" s="7">
        <f t="shared" si="1"/>
        <v>0</v>
      </c>
      <c r="L23" s="149" t="str">
        <f>_xlfn.XLOOKUP(Tabla13[[#This Row],[Egresos]],Tabla2[ALUMNO],Tabla2[PROFESOR],"")</f>
        <v/>
      </c>
      <c r="M23" s="149" t="str">
        <f>_xlfn.XLOOKUP(Tabla13[[#This Row],[Egresos]],Tabla2[ALUMNO],Tabla2[CURSO],"")</f>
        <v/>
      </c>
      <c r="O23" s="84">
        <f t="shared" si="4"/>
        <v>15</v>
      </c>
      <c r="P23" s="7">
        <f t="shared" si="2"/>
        <v>0</v>
      </c>
      <c r="Q23" s="149" t="str">
        <f>_xlfn.XLOOKUP(Tabla1314[[#This Row],[R]],Tabla2[ALUMNO],Tabla2[PROFESOR],"")</f>
        <v/>
      </c>
      <c r="R23" s="149" t="str">
        <f>_xlfn.XLOOKUP(Tabla1314[[#This Row],[R]],Tabla2[ALUMNO],Tabla2[CURSO],"")</f>
        <v/>
      </c>
      <c r="T23" t="str">
        <v>Orlando Reyes B</v>
      </c>
    </row>
    <row r="24" spans="2:20" x14ac:dyDescent="0.25">
      <c r="J24" s="148"/>
      <c r="K24" s="7">
        <f t="shared" si="1"/>
        <v>0</v>
      </c>
      <c r="L24" s="149" t="str">
        <f>_xlfn.XLOOKUP(Tabla13[[#This Row],[Egresos]],Tabla2[ALUMNO],Tabla2[PROFESOR],"")</f>
        <v/>
      </c>
      <c r="M24" s="149" t="str">
        <f>_xlfn.XLOOKUP(Tabla13[[#This Row],[Egresos]],Tabla2[ALUMNO],Tabla2[CURSO],"")</f>
        <v/>
      </c>
      <c r="O24" s="84">
        <f t="shared" si="4"/>
        <v>16</v>
      </c>
      <c r="P24" s="7">
        <f t="shared" si="2"/>
        <v>0</v>
      </c>
      <c r="Q24" s="149" t="str">
        <f>_xlfn.XLOOKUP(Tabla1314[[#This Row],[R]],Tabla2[ALUMNO],Tabla2[PROFESOR],"")</f>
        <v/>
      </c>
      <c r="R24" s="149" t="str">
        <f>_xlfn.XLOOKUP(Tabla1314[[#This Row],[R]],Tabla2[ALUMNO],Tabla2[CURSO],"")</f>
        <v/>
      </c>
      <c r="T24" t="str">
        <v>Emiliano Guiterrez Dorantes</v>
      </c>
    </row>
    <row r="25" spans="2:20" x14ac:dyDescent="0.25">
      <c r="J25" s="148"/>
      <c r="K25" s="7">
        <f t="shared" si="1"/>
        <v>0</v>
      </c>
      <c r="L25" s="149" t="str">
        <f>_xlfn.XLOOKUP(Tabla13[[#This Row],[Egresos]],Tabla2[ALUMNO],Tabla2[PROFESOR],"")</f>
        <v/>
      </c>
      <c r="M25" s="149" t="str">
        <f>_xlfn.XLOOKUP(Tabla13[[#This Row],[Egresos]],Tabla2[ALUMNO],Tabla2[CURSO],"")</f>
        <v/>
      </c>
      <c r="O25" s="84">
        <f t="shared" si="4"/>
        <v>17</v>
      </c>
      <c r="P25" s="7">
        <f t="shared" si="2"/>
        <v>0</v>
      </c>
      <c r="Q25" s="149" t="str">
        <f>_xlfn.XLOOKUP(Tabla1314[[#This Row],[R]],Tabla2[ALUMNO],Tabla2[PROFESOR],"")</f>
        <v/>
      </c>
      <c r="R25" s="149" t="str">
        <f>_xlfn.XLOOKUP(Tabla1314[[#This Row],[R]],Tabla2[ALUMNO],Tabla2[CURSO],"")</f>
        <v/>
      </c>
      <c r="T25" t="str">
        <v>Roberto Gonzalez Martinez</v>
      </c>
    </row>
    <row r="26" spans="2:20" x14ac:dyDescent="0.25">
      <c r="O26" s="84">
        <f t="shared" si="4"/>
        <v>18</v>
      </c>
      <c r="P26" s="7">
        <f t="shared" si="2"/>
        <v>0</v>
      </c>
      <c r="Q26" s="160" t="str">
        <f>_xlfn.XLOOKUP(Tabla1314[[#This Row],[R]],Tabla2[ALUMNO],Tabla2[PROFESOR],"")</f>
        <v/>
      </c>
      <c r="R26" s="161" t="str">
        <f>_xlfn.XLOOKUP(Tabla1314[[#This Row],[R]],Tabla2[ALUMNO],Tabla2[CURSO],"")</f>
        <v/>
      </c>
      <c r="T26" t="str">
        <v>Adrian Gutierrez Valencia</v>
      </c>
    </row>
    <row r="27" spans="2:20" x14ac:dyDescent="0.25">
      <c r="O27" s="84">
        <f t="shared" si="4"/>
        <v>19</v>
      </c>
      <c r="P27" s="7">
        <f t="shared" si="2"/>
        <v>0</v>
      </c>
      <c r="Q27" s="160" t="str">
        <f>_xlfn.XLOOKUP(Tabla1314[[#This Row],[R]],Tabla2[ALUMNO],Tabla2[PROFESOR],"")</f>
        <v/>
      </c>
      <c r="R27" s="161" t="str">
        <f>_xlfn.XLOOKUP(Tabla1314[[#This Row],[R]],Tabla2[ALUMNO],Tabla2[CURSO],"")</f>
        <v/>
      </c>
      <c r="T27" t="str">
        <v>Emilia Aitana Mendoza Arjona</v>
      </c>
    </row>
    <row r="28" spans="2:20" x14ac:dyDescent="0.25">
      <c r="O28" s="84">
        <f t="shared" si="4"/>
        <v>20</v>
      </c>
      <c r="P28" s="7">
        <f t="shared" si="2"/>
        <v>0</v>
      </c>
      <c r="Q28" s="162" t="str">
        <f>_xlfn.XLOOKUP(Tabla1314[[#This Row],[R]],Tabla2[ALUMNO],Tabla2[PROFESOR],"")</f>
        <v/>
      </c>
      <c r="R28" s="163" t="str">
        <f>_xlfn.XLOOKUP(Tabla1314[[#This Row],[R]],Tabla2[ALUMNO],Tabla2[CURSO],"")</f>
        <v/>
      </c>
      <c r="T28" t="str">
        <v>Martha Ledesma Sánchez</v>
      </c>
    </row>
    <row r="29" spans="2:20" x14ac:dyDescent="0.25">
      <c r="O29" s="84">
        <f t="shared" si="4"/>
        <v>21</v>
      </c>
      <c r="P29" s="7">
        <f t="shared" si="2"/>
        <v>0</v>
      </c>
      <c r="Q29" s="160" t="str">
        <f>_xlfn.XLOOKUP(Tabla1314[[#This Row],[R]],Tabla2[ALUMNO],Tabla2[PROFESOR],"")</f>
        <v/>
      </c>
      <c r="R29" s="161" t="str">
        <f>_xlfn.XLOOKUP(Tabla1314[[#This Row],[R]],Tabla2[ALUMNO],Tabla2[CURSO],"")</f>
        <v/>
      </c>
      <c r="T29" t="str">
        <v>María José Quiroz López</v>
      </c>
    </row>
    <row r="30" spans="2:20" x14ac:dyDescent="0.25">
      <c r="O30" s="84">
        <f t="shared" si="4"/>
        <v>22</v>
      </c>
      <c r="P30" s="7">
        <f t="shared" si="2"/>
        <v>0</v>
      </c>
      <c r="Q30" s="160" t="str">
        <f>_xlfn.XLOOKUP(Tabla1314[[#This Row],[R]],Tabla2[ALUMNO],Tabla2[PROFESOR],"")</f>
        <v/>
      </c>
      <c r="R30" s="161" t="str">
        <f>_xlfn.XLOOKUP(Tabla1314[[#This Row],[R]],Tabla2[ALUMNO],Tabla2[CURSO],"")</f>
        <v/>
      </c>
      <c r="T30" t="str">
        <v>Jimena García de la Cerda</v>
      </c>
    </row>
    <row r="31" spans="2:20" x14ac:dyDescent="0.25">
      <c r="O31" s="84">
        <f t="shared" si="4"/>
        <v>23</v>
      </c>
      <c r="P31" s="7">
        <f t="shared" si="2"/>
        <v>0</v>
      </c>
      <c r="Q31" s="162" t="str">
        <f>_xlfn.XLOOKUP(Tabla1314[[#This Row],[R]],Tabla2[ALUMNO],Tabla2[PROFESOR],"")</f>
        <v/>
      </c>
      <c r="R31" s="163" t="str">
        <f>_xlfn.XLOOKUP(Tabla1314[[#This Row],[R]],Tabla2[ALUMNO],Tabla2[CURSO],"")</f>
        <v/>
      </c>
      <c r="T31" t="str">
        <v>Angélica Waldo Jonguitud</v>
      </c>
    </row>
    <row r="32" spans="2:20" x14ac:dyDescent="0.25">
      <c r="O32" s="84">
        <f t="shared" si="4"/>
        <v>24</v>
      </c>
      <c r="P32" s="7">
        <f t="shared" si="2"/>
        <v>0</v>
      </c>
      <c r="Q32" s="162" t="str">
        <f>_xlfn.XLOOKUP(Tabla1314[[#This Row],[R]],Tabla2[ALUMNO],Tabla2[PROFESOR],"")</f>
        <v/>
      </c>
      <c r="R32" s="163" t="str">
        <f>_xlfn.XLOOKUP(Tabla1314[[#This Row],[R]],Tabla2[ALUMNO],Tabla2[CURSO],"")</f>
        <v/>
      </c>
      <c r="T32" t="str">
        <v>Carolina Guadalupe Aguilar Hernández</v>
      </c>
    </row>
    <row r="33" spans="5:20" x14ac:dyDescent="0.25">
      <c r="T33" t="str">
        <v>America Fernanda Cabral Vidales</v>
      </c>
    </row>
    <row r="34" spans="5:20" x14ac:dyDescent="0.25">
      <c r="T34" t="str">
        <v>Alejandro ramirez Robledo</v>
      </c>
    </row>
    <row r="35" spans="5:20" x14ac:dyDescent="0.25">
      <c r="T35" t="str">
        <v>Orlando Reyes</v>
      </c>
    </row>
    <row r="36" spans="5:20" x14ac:dyDescent="0.25">
      <c r="E36" s="139" t="s">
        <v>434</v>
      </c>
      <c r="F36" t="s">
        <v>435</v>
      </c>
      <c r="T36" t="str">
        <v>Natalia Hernández</v>
      </c>
    </row>
    <row r="37" spans="5:20" x14ac:dyDescent="0.25">
      <c r="E37" s="92" t="s">
        <v>413</v>
      </c>
      <c r="F37" s="90">
        <v>3</v>
      </c>
      <c r="T37" t="str">
        <v>Sofia Rodríguez Medina</v>
      </c>
    </row>
    <row r="38" spans="5:20" x14ac:dyDescent="0.25">
      <c r="E38" s="92" t="s">
        <v>216</v>
      </c>
      <c r="F38" s="90">
        <v>2</v>
      </c>
      <c r="T38" t="str">
        <v>Diego Rodríguez Medina</v>
      </c>
    </row>
    <row r="39" spans="5:20" x14ac:dyDescent="0.25">
      <c r="E39" s="92" t="s">
        <v>56</v>
      </c>
      <c r="F39" s="90">
        <v>23</v>
      </c>
      <c r="T39" t="str">
        <v>Otilio Vazquez Martinez</v>
      </c>
    </row>
    <row r="40" spans="5:20" x14ac:dyDescent="0.25">
      <c r="E40" s="92" t="s">
        <v>415</v>
      </c>
      <c r="F40" s="90">
        <v>7</v>
      </c>
      <c r="T40" t="str">
        <v>Juan Carlos Guzmán Hernandez ASM</v>
      </c>
    </row>
    <row r="41" spans="5:20" x14ac:dyDescent="0.25">
      <c r="E41" s="92" t="s">
        <v>310</v>
      </c>
      <c r="F41" s="90">
        <v>35</v>
      </c>
      <c r="T41" t="str">
        <v>Erika Liliam Romero Maza</v>
      </c>
    </row>
    <row r="42" spans="5:20" x14ac:dyDescent="0.25">
      <c r="T42" t="str">
        <v>Litza Victoria Murillo Jimenez</v>
      </c>
    </row>
    <row r="43" spans="5:20" x14ac:dyDescent="0.25">
      <c r="T43" t="str">
        <v>María Paula Ando Vargas</v>
      </c>
    </row>
    <row r="44" spans="5:20" x14ac:dyDescent="0.25">
      <c r="T44" t="str">
        <v>Satomi Kato</v>
      </c>
    </row>
    <row r="45" spans="5:20" x14ac:dyDescent="0.25">
      <c r="T45" t="str">
        <v>Ritsuha Yokoi</v>
      </c>
    </row>
    <row r="46" spans="5:20" x14ac:dyDescent="0.25">
      <c r="T46" t="str">
        <v>Emma Alexis Calzada</v>
      </c>
    </row>
    <row r="47" spans="5:20" x14ac:dyDescent="0.25">
      <c r="T47" t="str">
        <v>Bernardo Santos Carvalho de Souza</v>
      </c>
    </row>
    <row r="48" spans="5:20" x14ac:dyDescent="0.25">
      <c r="T48" t="str">
        <v>Erily Daniela Romero Maza</v>
      </c>
    </row>
    <row r="49" spans="20:20" x14ac:dyDescent="0.25">
      <c r="T49" t="str">
        <v>Rodrigo Ascencio Figueroa</v>
      </c>
    </row>
    <row r="50" spans="20:20" x14ac:dyDescent="0.25">
      <c r="T50" t="str">
        <v>Alicia López Abarca</v>
      </c>
    </row>
    <row r="51" spans="20:20" x14ac:dyDescent="0.25">
      <c r="T51" t="str">
        <v>Leonardo Daniel Sánchez Velazco</v>
      </c>
    </row>
    <row r="52" spans="20:20" x14ac:dyDescent="0.25">
      <c r="T52" t="str">
        <v>José Manuel Pérez Collado</v>
      </c>
    </row>
    <row r="53" spans="20:20" x14ac:dyDescent="0.25">
      <c r="T53" t="str">
        <v>Hector Martinez Torres</v>
      </c>
    </row>
    <row r="54" spans="20:20" x14ac:dyDescent="0.25">
      <c r="T54" t="str">
        <v>Camila Villareal</v>
      </c>
    </row>
    <row r="55" spans="20:20" x14ac:dyDescent="0.25">
      <c r="T55" t="str">
        <v>Surelhy Gutierrez Dorantes</v>
      </c>
    </row>
    <row r="56" spans="20:20" x14ac:dyDescent="0.25">
      <c r="T56" t="str">
        <v>María Alejandra Romero Sánchez</v>
      </c>
    </row>
    <row r="57" spans="20:20" x14ac:dyDescent="0.25">
      <c r="T57" t="str">
        <v>Pablo Eduardo Zarza Martínez</v>
      </c>
    </row>
    <row r="58" spans="20:20" x14ac:dyDescent="0.25">
      <c r="T58" t="str">
        <v>Manuel Medina Terán</v>
      </c>
    </row>
    <row r="59" spans="20:20" x14ac:dyDescent="0.25">
      <c r="T59" t="str">
        <v>Luciel Hinojo Sotelo</v>
      </c>
    </row>
    <row r="60" spans="20:20" x14ac:dyDescent="0.25">
      <c r="T60" t="str">
        <v>Florentina Serna Guerrero</v>
      </c>
    </row>
    <row r="61" spans="20:20" x14ac:dyDescent="0.25">
      <c r="T61" t="str">
        <v>Juan Carlos Guzmán Hernandez</v>
      </c>
    </row>
    <row r="62" spans="20:20" x14ac:dyDescent="0.25">
      <c r="T62" t="str">
        <v>Eugenia Paulina Ramírez Pérez</v>
      </c>
    </row>
    <row r="63" spans="20:20" x14ac:dyDescent="0.25">
      <c r="T63" t="str">
        <v>Ramses Reyes Sanchez</v>
      </c>
    </row>
  </sheetData>
  <mergeCells count="1">
    <mergeCell ref="D1:M1"/>
  </mergeCells>
  <pageMargins left="0.7" right="0.7" top="0.75" bottom="0.75" header="0.3" footer="0.3"/>
  <pageSetup paperSize="9" scale="87" orientation="landscape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97B30-D6E3-4205-9980-395895AED16A}">
  <sheetPr codeName="Hoja5">
    <pageSetUpPr fitToPage="1"/>
  </sheetPr>
  <dimension ref="B2:O33"/>
  <sheetViews>
    <sheetView topLeftCell="A13" zoomScale="115" zoomScaleNormal="115" workbookViewId="0">
      <selection activeCell="F9" sqref="F9"/>
    </sheetView>
  </sheetViews>
  <sheetFormatPr baseColWidth="10" defaultRowHeight="15" outlineLevelRow="1" x14ac:dyDescent="0.25"/>
  <cols>
    <col min="2" max="2" width="32.42578125" bestFit="1" customWidth="1"/>
    <col min="4" max="11" width="3.42578125" bestFit="1" customWidth="1"/>
    <col min="12" max="15" width="2.28515625" bestFit="1" customWidth="1"/>
    <col min="16" max="16" width="13.5703125" bestFit="1" customWidth="1"/>
    <col min="18" max="18" width="6.28515625" customWidth="1"/>
    <col min="19" max="19" width="27.140625" bestFit="1" customWidth="1"/>
    <col min="20" max="20" width="5.42578125" customWidth="1"/>
    <col min="21" max="21" width="28.85546875" bestFit="1" customWidth="1"/>
    <col min="22" max="22" width="27.140625" bestFit="1" customWidth="1"/>
  </cols>
  <sheetData>
    <row r="2" spans="2:15" x14ac:dyDescent="0.25">
      <c r="B2" s="288" t="s">
        <v>303</v>
      </c>
      <c r="C2" s="288"/>
    </row>
    <row r="3" spans="2:15" x14ac:dyDescent="0.25">
      <c r="B3" s="288"/>
      <c r="C3" s="288"/>
    </row>
    <row r="5" spans="2:15" outlineLevel="1" x14ac:dyDescent="0.25">
      <c r="B5" s="132" t="s">
        <v>293</v>
      </c>
      <c r="C5" s="132"/>
      <c r="D5" s="121" t="s">
        <v>23</v>
      </c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</row>
    <row r="6" spans="2:15" outlineLevel="1" x14ac:dyDescent="0.25">
      <c r="B6" t="s">
        <v>146</v>
      </c>
      <c r="C6" t="s">
        <v>147</v>
      </c>
      <c r="D6" s="137" t="s">
        <v>281</v>
      </c>
      <c r="E6" s="127" t="s">
        <v>282</v>
      </c>
      <c r="F6" s="130" t="s">
        <v>283</v>
      </c>
      <c r="G6" s="127" t="s">
        <v>284</v>
      </c>
      <c r="H6" s="127" t="s">
        <v>285</v>
      </c>
      <c r="I6" s="130" t="s">
        <v>286</v>
      </c>
      <c r="J6" s="127" t="s">
        <v>287</v>
      </c>
      <c r="K6" s="127" t="s">
        <v>288</v>
      </c>
      <c r="L6" s="130" t="s">
        <v>289</v>
      </c>
      <c r="M6" s="127" t="s">
        <v>290</v>
      </c>
      <c r="N6" s="127" t="s">
        <v>291</v>
      </c>
      <c r="O6" s="127" t="s">
        <v>292</v>
      </c>
    </row>
    <row r="7" spans="2:15" outlineLevel="1" x14ac:dyDescent="0.25">
      <c r="B7" s="123" t="s">
        <v>193</v>
      </c>
      <c r="C7" s="124">
        <v>0.41666666666666669</v>
      </c>
      <c r="D7" s="128"/>
      <c r="E7" s="128"/>
      <c r="F7" s="131"/>
      <c r="G7" s="131"/>
      <c r="H7" s="131"/>
      <c r="I7" s="131"/>
      <c r="J7" s="131"/>
      <c r="K7" s="131"/>
      <c r="L7" s="131"/>
      <c r="M7" s="131"/>
      <c r="N7" s="131"/>
      <c r="O7" s="131"/>
    </row>
    <row r="8" spans="2:15" outlineLevel="1" x14ac:dyDescent="0.25">
      <c r="B8" s="123" t="s">
        <v>275</v>
      </c>
      <c r="C8" s="124">
        <v>0.41666666666666669</v>
      </c>
      <c r="D8" s="128"/>
      <c r="E8" s="129"/>
      <c r="F8" s="131"/>
      <c r="G8" s="131"/>
      <c r="H8" s="131"/>
      <c r="I8" s="131"/>
      <c r="J8" s="131"/>
      <c r="K8" s="131"/>
      <c r="L8" s="131"/>
      <c r="M8" s="131"/>
      <c r="N8" s="131"/>
      <c r="O8" s="131"/>
    </row>
    <row r="9" spans="2:15" x14ac:dyDescent="0.25">
      <c r="B9" s="114"/>
      <c r="C9" s="125"/>
      <c r="D9" s="126"/>
      <c r="E9" s="126"/>
    </row>
    <row r="10" spans="2:15" outlineLevel="1" x14ac:dyDescent="0.25">
      <c r="B10" s="132" t="s">
        <v>304</v>
      </c>
      <c r="C10" s="132"/>
      <c r="D10" s="121" t="s">
        <v>57</v>
      </c>
      <c r="E10" s="134"/>
      <c r="F10" s="121"/>
      <c r="G10" s="121"/>
      <c r="H10" s="121"/>
      <c r="I10" s="121"/>
      <c r="J10" s="121"/>
      <c r="K10" s="121"/>
      <c r="L10" s="121"/>
      <c r="M10" s="121"/>
      <c r="N10" s="121"/>
      <c r="O10" s="121"/>
    </row>
    <row r="11" spans="2:15" outlineLevel="1" x14ac:dyDescent="0.25">
      <c r="B11" t="s">
        <v>146</v>
      </c>
      <c r="C11" t="s">
        <v>147</v>
      </c>
      <c r="D11" s="127" t="s">
        <v>281</v>
      </c>
      <c r="E11" s="127" t="s">
        <v>282</v>
      </c>
      <c r="F11" s="130" t="s">
        <v>283</v>
      </c>
      <c r="G11" s="127" t="s">
        <v>284</v>
      </c>
      <c r="H11" s="127" t="s">
        <v>285</v>
      </c>
      <c r="I11" s="130" t="s">
        <v>286</v>
      </c>
      <c r="J11" s="127" t="s">
        <v>287</v>
      </c>
      <c r="K11" s="127" t="s">
        <v>288</v>
      </c>
      <c r="L11" s="130" t="s">
        <v>289</v>
      </c>
      <c r="M11" s="127" t="s">
        <v>290</v>
      </c>
      <c r="N11" s="127" t="s">
        <v>291</v>
      </c>
      <c r="O11" s="127" t="s">
        <v>292</v>
      </c>
    </row>
    <row r="12" spans="2:15" outlineLevel="1" x14ac:dyDescent="0.25">
      <c r="B12" s="123" t="s">
        <v>276</v>
      </c>
      <c r="C12" s="138">
        <v>0.45833333333333331</v>
      </c>
      <c r="D12" s="129"/>
      <c r="E12" s="129"/>
      <c r="F12" s="133"/>
      <c r="G12" s="133"/>
      <c r="H12" s="133"/>
      <c r="I12" s="133"/>
      <c r="J12" s="133"/>
      <c r="K12" s="133"/>
      <c r="L12" s="133"/>
      <c r="M12" s="133"/>
      <c r="N12" s="133"/>
      <c r="O12" s="133"/>
    </row>
    <row r="13" spans="2:15" outlineLevel="1" x14ac:dyDescent="0.25">
      <c r="B13" s="105" t="s">
        <v>209</v>
      </c>
      <c r="C13" s="11">
        <v>0.45833333333333331</v>
      </c>
      <c r="D13" s="128"/>
      <c r="E13" s="128"/>
      <c r="F13" s="131"/>
      <c r="G13" s="131"/>
      <c r="H13" s="131"/>
      <c r="I13" s="131"/>
      <c r="J13" s="131"/>
      <c r="K13" s="131"/>
      <c r="L13" s="131"/>
      <c r="M13" s="131"/>
      <c r="N13" s="131"/>
      <c r="O13" s="131"/>
    </row>
    <row r="14" spans="2:15" outlineLevel="1" x14ac:dyDescent="0.25">
      <c r="B14" s="105" t="s">
        <v>231</v>
      </c>
      <c r="C14" s="11">
        <v>0.45833333333333331</v>
      </c>
      <c r="D14" s="128"/>
      <c r="E14" s="128"/>
      <c r="F14" s="131"/>
      <c r="G14" s="131"/>
      <c r="H14" s="131"/>
      <c r="I14" s="131"/>
      <c r="J14" s="131"/>
      <c r="K14" s="131"/>
      <c r="L14" s="131"/>
      <c r="M14" s="131"/>
      <c r="N14" s="131"/>
      <c r="O14" s="131"/>
    </row>
    <row r="15" spans="2:15" outlineLevel="1" x14ac:dyDescent="0.25">
      <c r="B15" s="105" t="s">
        <v>193</v>
      </c>
      <c r="C15" s="122">
        <v>0.5</v>
      </c>
      <c r="D15" s="128"/>
      <c r="E15" s="128"/>
      <c r="F15" s="131"/>
      <c r="G15" s="131"/>
      <c r="H15" s="131"/>
      <c r="I15" s="131"/>
      <c r="J15" s="131"/>
      <c r="K15" s="131"/>
      <c r="L15" s="131"/>
      <c r="M15" s="131"/>
      <c r="N15" s="131"/>
      <c r="O15" s="131"/>
    </row>
    <row r="16" spans="2:15" outlineLevel="1" x14ac:dyDescent="0.25">
      <c r="B16" s="105" t="s">
        <v>254</v>
      </c>
      <c r="C16" s="11">
        <v>0.5</v>
      </c>
      <c r="D16" s="128"/>
      <c r="E16" s="128"/>
      <c r="F16" s="131"/>
      <c r="G16" s="131"/>
      <c r="H16" s="131"/>
      <c r="I16" s="131"/>
      <c r="J16" s="131"/>
      <c r="K16" s="131"/>
      <c r="L16" s="131"/>
      <c r="M16" s="131"/>
      <c r="N16" s="131"/>
      <c r="O16" s="131"/>
    </row>
    <row r="17" spans="2:15" outlineLevel="1" x14ac:dyDescent="0.25">
      <c r="B17" s="105" t="s">
        <v>217</v>
      </c>
      <c r="C17" s="11">
        <v>0.5</v>
      </c>
      <c r="D17" s="128"/>
      <c r="E17" s="128"/>
      <c r="F17" s="131"/>
      <c r="G17" s="131"/>
      <c r="H17" s="131"/>
      <c r="I17" s="131"/>
      <c r="J17" s="131"/>
      <c r="K17" s="131"/>
      <c r="L17" s="131"/>
      <c r="M17" s="131"/>
      <c r="N17" s="131"/>
      <c r="O17" s="131"/>
    </row>
    <row r="18" spans="2:15" x14ac:dyDescent="0.25">
      <c r="B18" s="132" t="s">
        <v>294</v>
      </c>
      <c r="C18" s="132"/>
      <c r="D18" s="121" t="s">
        <v>78</v>
      </c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</row>
    <row r="19" spans="2:15" outlineLevel="1" x14ac:dyDescent="0.25">
      <c r="B19" t="s">
        <v>146</v>
      </c>
      <c r="C19" t="s">
        <v>147</v>
      </c>
      <c r="D19" s="127" t="s">
        <v>281</v>
      </c>
      <c r="E19" s="127" t="s">
        <v>282</v>
      </c>
      <c r="F19" s="130" t="s">
        <v>283</v>
      </c>
      <c r="G19" s="127" t="s">
        <v>284</v>
      </c>
      <c r="H19" s="127" t="s">
        <v>285</v>
      </c>
      <c r="I19" s="130" t="s">
        <v>286</v>
      </c>
      <c r="J19" s="127" t="s">
        <v>287</v>
      </c>
      <c r="K19" s="127" t="s">
        <v>288</v>
      </c>
      <c r="L19" s="130" t="s">
        <v>289</v>
      </c>
      <c r="M19" s="127" t="s">
        <v>290</v>
      </c>
      <c r="N19" s="127" t="s">
        <v>291</v>
      </c>
      <c r="O19" s="127" t="s">
        <v>292</v>
      </c>
    </row>
    <row r="20" spans="2:15" outlineLevel="1" x14ac:dyDescent="0.25">
      <c r="B20" s="105" t="s">
        <v>212</v>
      </c>
      <c r="C20" s="122">
        <v>0.41666666666666669</v>
      </c>
      <c r="D20" s="128"/>
      <c r="E20" s="128"/>
      <c r="F20" s="131"/>
      <c r="G20" s="131"/>
      <c r="H20" s="131"/>
      <c r="I20" s="131"/>
      <c r="J20" s="131"/>
      <c r="K20" s="131"/>
      <c r="L20" s="131"/>
      <c r="M20" s="131"/>
      <c r="N20" s="131"/>
      <c r="O20" s="131"/>
    </row>
    <row r="21" spans="2:15" outlineLevel="1" x14ac:dyDescent="0.25">
      <c r="B21" s="105" t="s">
        <v>257</v>
      </c>
      <c r="C21" s="122">
        <v>0.41666666666666669</v>
      </c>
      <c r="D21" s="129"/>
      <c r="E21" s="129"/>
      <c r="F21" s="133"/>
      <c r="G21" s="133"/>
      <c r="H21" s="133"/>
      <c r="I21" s="133"/>
      <c r="J21" s="133"/>
      <c r="K21" s="133"/>
      <c r="L21" s="133"/>
      <c r="M21" s="133"/>
      <c r="N21" s="133"/>
      <c r="O21" s="131"/>
    </row>
    <row r="22" spans="2:15" outlineLevel="1" x14ac:dyDescent="0.25">
      <c r="B22" s="105" t="s">
        <v>173</v>
      </c>
      <c r="C22" s="122">
        <v>0.41666666666666669</v>
      </c>
      <c r="D22" s="128"/>
      <c r="E22" s="128"/>
      <c r="F22" s="131"/>
      <c r="G22" s="131"/>
      <c r="H22" s="131"/>
      <c r="I22" s="131"/>
      <c r="J22" s="131"/>
      <c r="K22" s="131"/>
      <c r="L22" s="131"/>
      <c r="M22" s="131"/>
      <c r="N22" s="131"/>
      <c r="O22" s="131"/>
    </row>
    <row r="23" spans="2:15" outlineLevel="1" x14ac:dyDescent="0.25">
      <c r="B23" s="105" t="s">
        <v>152</v>
      </c>
      <c r="C23" s="122">
        <v>0.41666666666666669</v>
      </c>
      <c r="D23" s="128"/>
      <c r="E23" s="128"/>
      <c r="F23" s="131"/>
      <c r="G23" s="131"/>
      <c r="H23" s="131"/>
      <c r="I23" s="131"/>
      <c r="J23" s="131"/>
      <c r="K23" s="131"/>
      <c r="L23" s="131"/>
      <c r="M23" s="131"/>
      <c r="N23" s="131"/>
      <c r="O23" s="131"/>
    </row>
    <row r="24" spans="2:15" outlineLevel="1" x14ac:dyDescent="0.25">
      <c r="B24" s="105" t="s">
        <v>193</v>
      </c>
      <c r="C24" s="122">
        <v>0.45833333333333331</v>
      </c>
      <c r="D24" s="128"/>
      <c r="E24" s="128"/>
      <c r="F24" s="131"/>
      <c r="G24" s="131"/>
      <c r="H24" s="131"/>
      <c r="I24" s="131"/>
      <c r="J24" s="131"/>
      <c r="K24" s="131"/>
      <c r="L24" s="131"/>
      <c r="M24" s="131"/>
      <c r="N24" s="131"/>
      <c r="O24" s="131"/>
    </row>
    <row r="25" spans="2:15" outlineLevel="1" x14ac:dyDescent="0.25">
      <c r="B25" s="105" t="s">
        <v>183</v>
      </c>
      <c r="C25" s="122">
        <v>0.45833333333333331</v>
      </c>
      <c r="D25" s="128"/>
      <c r="E25" s="128"/>
      <c r="F25" s="131"/>
      <c r="G25" s="131"/>
      <c r="H25" s="131"/>
      <c r="I25" s="131"/>
      <c r="J25" s="131"/>
      <c r="K25" s="131"/>
      <c r="L25" s="131"/>
      <c r="M25" s="131"/>
      <c r="N25" s="131"/>
      <c r="O25" s="131"/>
    </row>
    <row r="26" spans="2:15" outlineLevel="1" x14ac:dyDescent="0.25">
      <c r="B26" s="105" t="s">
        <v>207</v>
      </c>
      <c r="C26" s="122">
        <v>0.45833333333333331</v>
      </c>
      <c r="D26" s="128"/>
      <c r="E26" s="128"/>
      <c r="F26" s="131"/>
      <c r="G26" s="131"/>
      <c r="H26" s="131"/>
      <c r="I26" s="131"/>
      <c r="J26" s="131"/>
      <c r="K26" s="131"/>
      <c r="L26" s="131"/>
      <c r="M26" s="131"/>
      <c r="N26" s="131"/>
      <c r="O26" s="131"/>
    </row>
    <row r="27" spans="2:15" outlineLevel="1" x14ac:dyDescent="0.25">
      <c r="B27" s="105" t="s">
        <v>263</v>
      </c>
      <c r="C27" s="122">
        <v>0.5</v>
      </c>
      <c r="D27" s="128"/>
      <c r="E27" s="128"/>
      <c r="F27" s="131"/>
      <c r="G27" s="131"/>
      <c r="H27" s="131"/>
      <c r="I27" s="131"/>
      <c r="J27" s="131"/>
      <c r="K27" s="131"/>
      <c r="L27" s="131"/>
      <c r="M27" s="131"/>
      <c r="N27" s="131"/>
      <c r="O27" s="131"/>
    </row>
    <row r="28" spans="2:15" outlineLevel="1" x14ac:dyDescent="0.25">
      <c r="B28" s="123" t="s">
        <v>273</v>
      </c>
      <c r="C28" s="124">
        <v>0.5</v>
      </c>
      <c r="D28" s="129"/>
      <c r="E28" s="129"/>
      <c r="F28" s="133"/>
      <c r="G28" s="133"/>
      <c r="H28" s="133"/>
      <c r="I28" s="133"/>
      <c r="J28" s="133"/>
      <c r="K28" s="133"/>
      <c r="L28" s="133"/>
      <c r="M28" s="133"/>
      <c r="N28" s="133"/>
      <c r="O28" s="133"/>
    </row>
    <row r="29" spans="2:15" x14ac:dyDescent="0.25">
      <c r="B29" s="132" t="s">
        <v>295</v>
      </c>
      <c r="C29" s="132"/>
      <c r="D29" s="121" t="s">
        <v>42</v>
      </c>
      <c r="E29" s="121"/>
      <c r="F29" s="121"/>
      <c r="G29" s="121"/>
      <c r="H29" s="121"/>
      <c r="I29" s="121"/>
      <c r="J29" s="135"/>
      <c r="K29" s="136"/>
      <c r="L29" s="136"/>
      <c r="M29" s="136"/>
      <c r="N29" s="136"/>
      <c r="O29" s="136"/>
    </row>
    <row r="30" spans="2:15" x14ac:dyDescent="0.25">
      <c r="B30" t="s">
        <v>146</v>
      </c>
      <c r="C30" t="s">
        <v>147</v>
      </c>
      <c r="D30" s="127" t="s">
        <v>296</v>
      </c>
      <c r="E30" s="127" t="s">
        <v>297</v>
      </c>
      <c r="F30" s="130" t="s">
        <v>298</v>
      </c>
      <c r="G30" s="127" t="s">
        <v>299</v>
      </c>
      <c r="H30" s="127" t="s">
        <v>300</v>
      </c>
      <c r="I30" s="130" t="s">
        <v>301</v>
      </c>
      <c r="J30" s="127" t="s">
        <v>302</v>
      </c>
    </row>
    <row r="31" spans="2:15" x14ac:dyDescent="0.25">
      <c r="B31" s="7" t="s">
        <v>186</v>
      </c>
      <c r="C31" s="124">
        <v>0.41666666666666669</v>
      </c>
      <c r="D31" s="128"/>
      <c r="E31" s="128"/>
      <c r="F31" s="131"/>
      <c r="G31" s="131"/>
      <c r="H31" s="131"/>
      <c r="I31" s="131"/>
      <c r="J31" s="131"/>
    </row>
    <row r="32" spans="2:15" x14ac:dyDescent="0.25">
      <c r="B32" s="7" t="s">
        <v>215</v>
      </c>
      <c r="C32" s="124">
        <v>0.41666666666666669</v>
      </c>
      <c r="D32" s="128"/>
      <c r="E32" s="128"/>
      <c r="F32" s="131"/>
      <c r="G32" s="131"/>
      <c r="H32" s="131"/>
      <c r="I32" s="131"/>
      <c r="J32" s="131"/>
    </row>
    <row r="33" spans="2:10" x14ac:dyDescent="0.25">
      <c r="B33" s="123" t="s">
        <v>193</v>
      </c>
      <c r="C33" s="124">
        <v>0.41666666666666669</v>
      </c>
      <c r="D33" s="129"/>
      <c r="E33" s="129"/>
      <c r="F33" s="133"/>
      <c r="G33" s="133"/>
      <c r="H33" s="133"/>
      <c r="I33" s="133"/>
      <c r="J33" s="133"/>
    </row>
  </sheetData>
  <mergeCells count="1">
    <mergeCell ref="B2:C3"/>
  </mergeCells>
  <pageMargins left="0.7" right="0.7" top="0.75" bottom="0.75" header="0.3" footer="0.3"/>
  <pageSetup paperSize="9" orientation="landscape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378C4-BF29-4BD5-A001-47C7E79FA0F6}">
  <sheetPr codeName="Hoja6"/>
  <dimension ref="A1:S80"/>
  <sheetViews>
    <sheetView topLeftCell="A40" zoomScaleNormal="100" workbookViewId="0">
      <selection activeCell="D59" sqref="D59"/>
    </sheetView>
  </sheetViews>
  <sheetFormatPr baseColWidth="10" defaultRowHeight="15" x14ac:dyDescent="0.25"/>
  <cols>
    <col min="2" max="2" width="13.28515625" customWidth="1"/>
    <col min="3" max="3" width="16.140625" customWidth="1"/>
    <col min="4" max="4" width="37.85546875" bestFit="1" customWidth="1"/>
    <col min="5" max="5" width="21.5703125" bestFit="1" customWidth="1"/>
    <col min="6" max="6" width="12.42578125" bestFit="1" customWidth="1"/>
    <col min="7" max="7" width="10.42578125" bestFit="1" customWidth="1"/>
    <col min="8" max="8" width="8.5703125" customWidth="1"/>
    <col min="9" max="9" width="14.42578125" customWidth="1"/>
    <col min="10" max="10" width="39.42578125" bestFit="1" customWidth="1"/>
    <col min="11" max="11" width="24" bestFit="1" customWidth="1"/>
    <col min="12" max="12" width="29.85546875" customWidth="1"/>
    <col min="13" max="13" width="16.5703125" customWidth="1"/>
    <col min="14" max="14" width="35.140625" customWidth="1"/>
    <col min="15" max="15" width="36.7109375" customWidth="1"/>
    <col min="16" max="16" width="29" customWidth="1"/>
    <col min="17" max="17" width="37.42578125" customWidth="1"/>
    <col min="18" max="18" width="16" customWidth="1"/>
    <col min="19" max="19" width="16.85546875" customWidth="1"/>
    <col min="20" max="20" width="14.140625" customWidth="1"/>
    <col min="21" max="21" width="27.5703125" customWidth="1"/>
    <col min="23" max="23" width="15.28515625" customWidth="1"/>
    <col min="24" max="24" width="24.7109375" customWidth="1"/>
    <col min="25" max="25" width="17" customWidth="1"/>
  </cols>
  <sheetData>
    <row r="1" spans="1:17" x14ac:dyDescent="0.25">
      <c r="C1">
        <v>17</v>
      </c>
      <c r="D1">
        <f>C1*50</f>
        <v>850</v>
      </c>
      <c r="F1">
        <f>50*16</f>
        <v>800</v>
      </c>
    </row>
    <row r="2" spans="1:17" x14ac:dyDescent="0.25">
      <c r="B2" s="96"/>
      <c r="C2" s="96"/>
      <c r="D2" s="96"/>
      <c r="E2" s="96"/>
    </row>
    <row r="3" spans="1:17" x14ac:dyDescent="0.25">
      <c r="B3" s="96"/>
      <c r="D3" s="100" t="s">
        <v>222</v>
      </c>
      <c r="E3" s="110"/>
    </row>
    <row r="4" spans="1:17" x14ac:dyDescent="0.25">
      <c r="B4" s="96"/>
      <c r="D4" s="101" t="s">
        <v>233</v>
      </c>
      <c r="E4" s="101"/>
      <c r="J4" s="97" t="s">
        <v>220</v>
      </c>
      <c r="K4" s="99" t="s">
        <v>121</v>
      </c>
      <c r="P4">
        <f>Q5/O5</f>
        <v>0.9</v>
      </c>
    </row>
    <row r="5" spans="1:17" x14ac:dyDescent="0.25">
      <c r="B5" s="96"/>
      <c r="C5" s="98" t="s">
        <v>223</v>
      </c>
      <c r="D5" s="101" t="s">
        <v>230</v>
      </c>
      <c r="E5" s="101"/>
      <c r="J5" s="7" t="s">
        <v>173</v>
      </c>
      <c r="K5" s="69">
        <v>8</v>
      </c>
      <c r="O5">
        <v>2900</v>
      </c>
      <c r="P5">
        <f>O5/20</f>
        <v>145</v>
      </c>
      <c r="Q5">
        <f>P5*18</f>
        <v>2610</v>
      </c>
    </row>
    <row r="6" spans="1:17" x14ac:dyDescent="0.25">
      <c r="B6" s="96"/>
      <c r="C6" s="98" t="s">
        <v>224</v>
      </c>
      <c r="D6" s="101" t="s">
        <v>225</v>
      </c>
      <c r="E6" s="101"/>
      <c r="J6" s="105" t="s">
        <v>257</v>
      </c>
      <c r="K6" s="69">
        <v>9</v>
      </c>
    </row>
    <row r="7" spans="1:17" x14ac:dyDescent="0.25">
      <c r="B7" s="96"/>
      <c r="C7" s="98" t="s">
        <v>229</v>
      </c>
      <c r="D7" s="101"/>
      <c r="E7" s="101"/>
      <c r="J7" s="7" t="s">
        <v>212</v>
      </c>
      <c r="K7" s="69">
        <v>8</v>
      </c>
    </row>
    <row r="8" spans="1:17" x14ac:dyDescent="0.25">
      <c r="B8" s="96"/>
      <c r="D8" s="100" t="s">
        <v>226</v>
      </c>
      <c r="E8" s="110" t="s">
        <v>226</v>
      </c>
      <c r="J8" s="105" t="s">
        <v>152</v>
      </c>
      <c r="K8" s="112">
        <v>8</v>
      </c>
    </row>
    <row r="9" spans="1:17" x14ac:dyDescent="0.25">
      <c r="D9" s="101" t="s">
        <v>234</v>
      </c>
      <c r="E9" s="101" t="s">
        <v>267</v>
      </c>
    </row>
    <row r="10" spans="1:17" x14ac:dyDescent="0.25">
      <c r="A10" s="78"/>
      <c r="C10" s="98" t="s">
        <v>223</v>
      </c>
      <c r="D10" s="101" t="s">
        <v>266</v>
      </c>
      <c r="E10" s="101"/>
      <c r="J10" s="97" t="s">
        <v>221</v>
      </c>
      <c r="K10" s="99" t="s">
        <v>121</v>
      </c>
    </row>
    <row r="11" spans="1:17" x14ac:dyDescent="0.25">
      <c r="C11" s="98" t="s">
        <v>224</v>
      </c>
      <c r="D11" s="101" t="s">
        <v>269</v>
      </c>
      <c r="E11" s="101"/>
      <c r="J11" s="7" t="s">
        <v>183</v>
      </c>
      <c r="K11" s="102">
        <v>15</v>
      </c>
    </row>
    <row r="12" spans="1:17" x14ac:dyDescent="0.25">
      <c r="C12" s="98" t="s">
        <v>229</v>
      </c>
      <c r="D12" s="101" t="s">
        <v>268</v>
      </c>
      <c r="E12" s="101" t="s">
        <v>42</v>
      </c>
      <c r="J12" s="7" t="s">
        <v>207</v>
      </c>
      <c r="K12" s="10">
        <v>22</v>
      </c>
    </row>
    <row r="13" spans="1:17" x14ac:dyDescent="0.25">
      <c r="D13" s="100" t="s">
        <v>227</v>
      </c>
      <c r="E13" s="110" t="s">
        <v>227</v>
      </c>
      <c r="J13" s="86" t="s">
        <v>193</v>
      </c>
    </row>
    <row r="14" spans="1:17" x14ac:dyDescent="0.25">
      <c r="D14" s="101" t="s">
        <v>235</v>
      </c>
      <c r="E14" s="101" t="s">
        <v>267</v>
      </c>
      <c r="J14" s="97" t="s">
        <v>260</v>
      </c>
      <c r="K14" s="108" t="s">
        <v>121</v>
      </c>
    </row>
    <row r="15" spans="1:17" x14ac:dyDescent="0.25">
      <c r="C15" s="98" t="s">
        <v>223</v>
      </c>
      <c r="D15" s="101" t="s">
        <v>266</v>
      </c>
      <c r="E15" s="101"/>
      <c r="J15" s="7" t="s">
        <v>263</v>
      </c>
      <c r="K15" s="102">
        <v>11</v>
      </c>
    </row>
    <row r="16" spans="1:17" x14ac:dyDescent="0.25">
      <c r="C16" s="98" t="s">
        <v>224</v>
      </c>
      <c r="D16" s="101" t="s">
        <v>269</v>
      </c>
      <c r="E16" s="101"/>
      <c r="J16" s="105" t="s">
        <v>273</v>
      </c>
      <c r="K16" s="109">
        <v>8</v>
      </c>
      <c r="L16" s="114"/>
    </row>
    <row r="17" spans="3:13" x14ac:dyDescent="0.25">
      <c r="C17" s="98" t="s">
        <v>229</v>
      </c>
      <c r="D17" s="101" t="s">
        <v>268</v>
      </c>
      <c r="E17" s="101" t="s">
        <v>42</v>
      </c>
    </row>
    <row r="18" spans="3:13" x14ac:dyDescent="0.25">
      <c r="D18" s="100" t="s">
        <v>228</v>
      </c>
      <c r="E18" s="110" t="s">
        <v>228</v>
      </c>
      <c r="J18" s="97" t="s">
        <v>252</v>
      </c>
      <c r="K18" s="99" t="s">
        <v>121</v>
      </c>
    </row>
    <row r="19" spans="3:13" x14ac:dyDescent="0.25">
      <c r="D19" s="101" t="s">
        <v>236</v>
      </c>
      <c r="E19" s="101" t="s">
        <v>267</v>
      </c>
      <c r="J19" s="105" t="s">
        <v>217</v>
      </c>
      <c r="K19" s="116">
        <v>10</v>
      </c>
      <c r="L19" s="81"/>
      <c r="M19" s="81"/>
    </row>
    <row r="20" spans="3:13" x14ac:dyDescent="0.25">
      <c r="C20" s="98" t="s">
        <v>223</v>
      </c>
      <c r="D20" s="101" t="s">
        <v>23</v>
      </c>
      <c r="E20" s="101"/>
      <c r="J20" s="105" t="s">
        <v>254</v>
      </c>
      <c r="K20" s="117">
        <v>11</v>
      </c>
      <c r="L20" s="81"/>
      <c r="M20" s="81"/>
    </row>
    <row r="21" spans="3:13" x14ac:dyDescent="0.25">
      <c r="C21" s="98" t="s">
        <v>224</v>
      </c>
      <c r="D21" s="101" t="s">
        <v>270</v>
      </c>
      <c r="E21" s="101"/>
      <c r="J21" s="105" t="s">
        <v>193</v>
      </c>
      <c r="K21" s="117">
        <v>14</v>
      </c>
      <c r="L21" s="81"/>
      <c r="M21" s="81"/>
    </row>
    <row r="22" spans="3:13" x14ac:dyDescent="0.25">
      <c r="C22" s="98" t="s">
        <v>229</v>
      </c>
      <c r="D22" s="101" t="s">
        <v>268</v>
      </c>
      <c r="E22" s="101" t="s">
        <v>42</v>
      </c>
      <c r="L22" s="81"/>
      <c r="M22" s="81"/>
    </row>
    <row r="23" spans="3:13" x14ac:dyDescent="0.25">
      <c r="D23" s="96"/>
      <c r="E23" s="96"/>
      <c r="J23" s="97" t="s">
        <v>261</v>
      </c>
      <c r="K23" s="118" t="s">
        <v>121</v>
      </c>
      <c r="L23" s="81"/>
      <c r="M23" s="81"/>
    </row>
    <row r="24" spans="3:13" x14ac:dyDescent="0.25">
      <c r="D24" s="96"/>
      <c r="E24" s="96"/>
      <c r="J24" s="105" t="s">
        <v>209</v>
      </c>
      <c r="K24" s="117">
        <v>15</v>
      </c>
      <c r="L24" s="119"/>
      <c r="M24" s="119"/>
    </row>
    <row r="25" spans="3:13" x14ac:dyDescent="0.25">
      <c r="J25" s="105" t="s">
        <v>231</v>
      </c>
      <c r="K25" s="117">
        <v>17</v>
      </c>
      <c r="L25" s="119"/>
      <c r="M25" s="119"/>
    </row>
    <row r="26" spans="3:13" x14ac:dyDescent="0.25">
      <c r="J26" s="105" t="s">
        <v>276</v>
      </c>
      <c r="K26" s="117">
        <v>15</v>
      </c>
      <c r="L26" s="114"/>
      <c r="M26" s="120"/>
    </row>
    <row r="27" spans="3:13" x14ac:dyDescent="0.25">
      <c r="L27" s="119"/>
      <c r="M27" s="119"/>
    </row>
    <row r="28" spans="3:13" x14ac:dyDescent="0.25">
      <c r="J28" s="97" t="s">
        <v>262</v>
      </c>
      <c r="K28" s="118" t="s">
        <v>121</v>
      </c>
      <c r="L28" s="119"/>
      <c r="M28" s="119"/>
    </row>
    <row r="29" spans="3:13" x14ac:dyDescent="0.25">
      <c r="J29" s="105" t="s">
        <v>193</v>
      </c>
      <c r="K29" s="106">
        <v>14</v>
      </c>
      <c r="L29" s="115"/>
      <c r="M29" s="115"/>
    </row>
    <row r="30" spans="3:13" x14ac:dyDescent="0.25">
      <c r="J30" s="105" t="s">
        <v>275</v>
      </c>
      <c r="K30" s="72">
        <v>11</v>
      </c>
    </row>
    <row r="32" spans="3:13" x14ac:dyDescent="0.25">
      <c r="J32" s="105"/>
      <c r="K32" s="72"/>
    </row>
    <row r="34" spans="2:19" x14ac:dyDescent="0.25">
      <c r="J34" s="97" t="s">
        <v>272</v>
      </c>
      <c r="K34" s="97" t="s">
        <v>121</v>
      </c>
    </row>
    <row r="35" spans="2:19" x14ac:dyDescent="0.25">
      <c r="J35" s="105" t="s">
        <v>193</v>
      </c>
      <c r="K35" s="72">
        <v>14</v>
      </c>
    </row>
    <row r="36" spans="2:19" x14ac:dyDescent="0.25">
      <c r="F36" s="86"/>
      <c r="J36" s="105" t="s">
        <v>186</v>
      </c>
      <c r="K36" s="72">
        <v>16</v>
      </c>
    </row>
    <row r="37" spans="2:19" x14ac:dyDescent="0.25">
      <c r="F37" s="86"/>
      <c r="J37" s="105" t="s">
        <v>215</v>
      </c>
      <c r="K37" s="72">
        <v>60</v>
      </c>
    </row>
    <row r="39" spans="2:19" ht="31.5" x14ac:dyDescent="0.25">
      <c r="B39" s="2" t="s">
        <v>0</v>
      </c>
      <c r="C39" s="2" t="s">
        <v>1</v>
      </c>
      <c r="D39" s="2" t="s">
        <v>112</v>
      </c>
      <c r="E39" s="2" t="s">
        <v>2</v>
      </c>
      <c r="F39" s="2" t="s">
        <v>3</v>
      </c>
      <c r="G39" s="2" t="s">
        <v>121</v>
      </c>
      <c r="H39" s="2" t="s">
        <v>271</v>
      </c>
      <c r="I39" s="2" t="s">
        <v>10</v>
      </c>
      <c r="J39" s="2" t="s">
        <v>177</v>
      </c>
      <c r="K39" s="2" t="s">
        <v>11</v>
      </c>
      <c r="L39" s="2" t="s">
        <v>12</v>
      </c>
      <c r="M39" s="2" t="s">
        <v>176</v>
      </c>
      <c r="N39" s="2" t="s">
        <v>15</v>
      </c>
      <c r="O39" s="76" t="s">
        <v>108</v>
      </c>
      <c r="P39" s="3" t="s">
        <v>104</v>
      </c>
      <c r="Q39" s="2" t="s">
        <v>18</v>
      </c>
      <c r="R39" s="2" t="s">
        <v>103</v>
      </c>
      <c r="S39" s="75" t="s">
        <v>111</v>
      </c>
    </row>
    <row r="40" spans="2:19" x14ac:dyDescent="0.25">
      <c r="B40" s="5"/>
      <c r="C40" s="6">
        <v>45474</v>
      </c>
      <c r="D40" s="7" t="s">
        <v>68</v>
      </c>
      <c r="E40" s="8" t="s">
        <v>20</v>
      </c>
      <c r="F40" s="9" t="s">
        <v>23</v>
      </c>
      <c r="G40" s="10"/>
      <c r="H40" s="11"/>
      <c r="I40" s="12"/>
      <c r="J40" s="12"/>
      <c r="K40" s="12"/>
      <c r="L40" s="13"/>
      <c r="M40" s="13"/>
      <c r="N40" s="15"/>
      <c r="O40" s="17"/>
      <c r="P40" s="26"/>
      <c r="Q40" s="21"/>
      <c r="R40" s="22"/>
      <c r="S40">
        <v>3</v>
      </c>
    </row>
    <row r="41" spans="2:19" x14ac:dyDescent="0.25">
      <c r="B41" s="5"/>
      <c r="C41" s="6">
        <v>45474</v>
      </c>
      <c r="D41" s="7" t="s">
        <v>275</v>
      </c>
      <c r="E41" s="8" t="s">
        <v>280</v>
      </c>
      <c r="F41" s="9" t="s">
        <v>23</v>
      </c>
      <c r="G41" s="10">
        <v>11</v>
      </c>
      <c r="H41" s="11">
        <v>0.41666666666666669</v>
      </c>
      <c r="I41" s="12"/>
      <c r="J41" s="12"/>
      <c r="K41" s="12" t="s">
        <v>274</v>
      </c>
      <c r="L41" s="13"/>
      <c r="M41" s="13"/>
      <c r="N41" s="15"/>
      <c r="O41" s="17">
        <v>491</v>
      </c>
      <c r="P41" s="20">
        <v>1690</v>
      </c>
      <c r="Q41" s="21" t="s">
        <v>187</v>
      </c>
      <c r="R41" s="22"/>
      <c r="S41">
        <v>28</v>
      </c>
    </row>
    <row r="42" spans="2:19" x14ac:dyDescent="0.25">
      <c r="B42" s="5"/>
      <c r="C42" s="6">
        <v>45474</v>
      </c>
      <c r="D42" s="7" t="s">
        <v>188</v>
      </c>
      <c r="E42" s="36" t="s">
        <v>259</v>
      </c>
      <c r="F42" s="9" t="s">
        <v>42</v>
      </c>
      <c r="G42" s="10"/>
      <c r="H42" s="11"/>
      <c r="I42" s="28"/>
      <c r="J42" s="29"/>
      <c r="K42" s="28"/>
      <c r="L42" s="30"/>
      <c r="M42" s="30"/>
      <c r="N42" s="9"/>
      <c r="O42" s="17">
        <v>2</v>
      </c>
      <c r="P42" s="20"/>
      <c r="Q42" s="22"/>
      <c r="R42" s="9"/>
      <c r="S42">
        <v>15</v>
      </c>
    </row>
    <row r="43" spans="2:19" x14ac:dyDescent="0.25">
      <c r="B43" s="5"/>
      <c r="C43" s="6">
        <v>45474</v>
      </c>
      <c r="D43" s="7" t="s">
        <v>186</v>
      </c>
      <c r="E43" s="36" t="s">
        <v>259</v>
      </c>
      <c r="F43" s="9" t="s">
        <v>42</v>
      </c>
      <c r="G43" s="10">
        <v>16</v>
      </c>
      <c r="H43" s="11">
        <v>0.5</v>
      </c>
      <c r="I43" s="12"/>
      <c r="J43" s="12" t="s">
        <v>305</v>
      </c>
      <c r="K43" s="12" t="s">
        <v>191</v>
      </c>
      <c r="L43" s="13"/>
      <c r="M43" s="13" t="s">
        <v>191</v>
      </c>
      <c r="N43" s="15"/>
      <c r="O43" s="37">
        <v>473</v>
      </c>
      <c r="P43" s="64">
        <v>1690</v>
      </c>
      <c r="Q43" s="21" t="s">
        <v>187</v>
      </c>
      <c r="R43" s="22"/>
      <c r="S43">
        <v>10</v>
      </c>
    </row>
    <row r="44" spans="2:19" x14ac:dyDescent="0.25">
      <c r="B44" s="5"/>
      <c r="C44" s="6">
        <v>45474</v>
      </c>
      <c r="D44" s="7" t="s">
        <v>215</v>
      </c>
      <c r="E44" s="36" t="s">
        <v>259</v>
      </c>
      <c r="F44" s="9" t="s">
        <v>42</v>
      </c>
      <c r="G44" s="10">
        <v>60</v>
      </c>
      <c r="H44" s="11">
        <v>0.5</v>
      </c>
      <c r="I44" s="12"/>
      <c r="J44" s="12"/>
      <c r="K44" s="12"/>
      <c r="L44" s="27"/>
      <c r="M44" s="27"/>
      <c r="N44" s="23"/>
      <c r="O44" s="17">
        <v>480</v>
      </c>
      <c r="P44" s="20">
        <v>845</v>
      </c>
      <c r="Q44" s="21" t="s">
        <v>216</v>
      </c>
      <c r="R44" s="22"/>
      <c r="S44">
        <v>4</v>
      </c>
    </row>
    <row r="45" spans="2:19" ht="40.5" customHeight="1" x14ac:dyDescent="0.25">
      <c r="B45" s="5"/>
      <c r="C45" s="6">
        <v>45474</v>
      </c>
      <c r="D45" s="7" t="s">
        <v>306</v>
      </c>
      <c r="E45" s="36" t="s">
        <v>259</v>
      </c>
      <c r="F45" s="9" t="s">
        <v>42</v>
      </c>
      <c r="G45" s="10">
        <v>13</v>
      </c>
      <c r="H45" s="11" t="s">
        <v>113</v>
      </c>
      <c r="I45" s="28" t="s">
        <v>307</v>
      </c>
      <c r="J45" s="29" t="s">
        <v>308</v>
      </c>
      <c r="K45" s="28" t="s">
        <v>309</v>
      </c>
      <c r="L45" s="30"/>
      <c r="M45" s="30"/>
      <c r="N45" s="9"/>
      <c r="O45" s="17">
        <v>489</v>
      </c>
      <c r="P45" s="20">
        <v>1690</v>
      </c>
      <c r="Q45" s="22" t="s">
        <v>56</v>
      </c>
      <c r="R45" s="9"/>
      <c r="S45">
        <v>16</v>
      </c>
    </row>
    <row r="46" spans="2:19" x14ac:dyDescent="0.25">
      <c r="B46" s="5"/>
      <c r="C46" s="6">
        <v>45474</v>
      </c>
      <c r="D46" s="7" t="s">
        <v>276</v>
      </c>
      <c r="E46" s="44" t="s">
        <v>175</v>
      </c>
      <c r="F46" s="9" t="s">
        <v>57</v>
      </c>
      <c r="G46" s="72">
        <v>15</v>
      </c>
      <c r="H46" s="11">
        <v>0.45833333333333331</v>
      </c>
      <c r="I46" s="50"/>
      <c r="J46" s="50" t="s">
        <v>277</v>
      </c>
      <c r="K46" s="50" t="s">
        <v>278</v>
      </c>
      <c r="L46" s="51"/>
      <c r="M46" s="51"/>
      <c r="N46" s="31"/>
      <c r="O46" s="17">
        <v>493</v>
      </c>
      <c r="P46" s="18">
        <v>1690</v>
      </c>
      <c r="Q46" s="9" t="s">
        <v>56</v>
      </c>
      <c r="R46" s="34"/>
      <c r="S46">
        <v>19</v>
      </c>
    </row>
    <row r="47" spans="2:19" x14ac:dyDescent="0.25">
      <c r="B47" s="5"/>
      <c r="C47" s="6">
        <v>45474</v>
      </c>
      <c r="D47" s="7" t="s">
        <v>339</v>
      </c>
      <c r="E47" s="44" t="s">
        <v>175</v>
      </c>
      <c r="F47" s="9" t="s">
        <v>57</v>
      </c>
      <c r="G47" s="72">
        <v>15</v>
      </c>
      <c r="H47" s="11">
        <v>0.45833333333333331</v>
      </c>
      <c r="I47" s="28"/>
      <c r="J47" s="28" t="s">
        <v>210</v>
      </c>
      <c r="K47" s="45" t="s">
        <v>211</v>
      </c>
      <c r="L47" s="46"/>
      <c r="M47" s="46" t="s">
        <v>211</v>
      </c>
      <c r="N47" s="41"/>
      <c r="O47" s="17">
        <v>477</v>
      </c>
      <c r="P47" s="49">
        <v>1690</v>
      </c>
      <c r="Q47" s="9" t="s">
        <v>56</v>
      </c>
      <c r="R47" s="22"/>
      <c r="S47">
        <v>17</v>
      </c>
    </row>
    <row r="48" spans="2:19" x14ac:dyDescent="0.25">
      <c r="B48" s="5"/>
      <c r="C48" s="6">
        <v>45474</v>
      </c>
      <c r="D48" s="7" t="s">
        <v>231</v>
      </c>
      <c r="E48" s="44" t="s">
        <v>175</v>
      </c>
      <c r="F48" s="9" t="s">
        <v>57</v>
      </c>
      <c r="G48" s="72">
        <v>17</v>
      </c>
      <c r="H48" s="11">
        <v>0.45833333333333331</v>
      </c>
      <c r="I48" s="28" t="s">
        <v>232</v>
      </c>
      <c r="J48" s="29"/>
      <c r="K48" s="29"/>
      <c r="L48" s="30"/>
      <c r="M48" s="30"/>
      <c r="N48" s="41"/>
      <c r="O48" s="17">
        <v>482</v>
      </c>
      <c r="P48" s="20">
        <v>1690</v>
      </c>
      <c r="Q48" s="21" t="s">
        <v>56</v>
      </c>
      <c r="R48" s="22"/>
      <c r="S48">
        <v>18</v>
      </c>
    </row>
    <row r="49" spans="2:19" x14ac:dyDescent="0.25">
      <c r="B49" s="5"/>
      <c r="C49" s="6">
        <v>45474</v>
      </c>
      <c r="D49" s="7" t="s">
        <v>217</v>
      </c>
      <c r="E49" s="44" t="s">
        <v>175</v>
      </c>
      <c r="F49" s="9" t="s">
        <v>57</v>
      </c>
      <c r="G49" s="113">
        <v>10</v>
      </c>
      <c r="H49" s="11">
        <v>0.5</v>
      </c>
      <c r="I49" s="12"/>
      <c r="J49" s="12" t="s">
        <v>218</v>
      </c>
      <c r="K49" s="12"/>
      <c r="L49" s="13"/>
      <c r="M49" s="13" t="s">
        <v>219</v>
      </c>
      <c r="N49" s="15"/>
      <c r="O49" s="17">
        <v>483</v>
      </c>
      <c r="P49" s="20">
        <v>1690</v>
      </c>
      <c r="Q49" s="22" t="s">
        <v>187</v>
      </c>
      <c r="R49" s="22"/>
      <c r="S49">
        <v>5</v>
      </c>
    </row>
    <row r="50" spans="2:19" x14ac:dyDescent="0.25">
      <c r="B50" s="5"/>
      <c r="C50" s="6">
        <v>45474</v>
      </c>
      <c r="D50" s="7" t="s">
        <v>254</v>
      </c>
      <c r="E50" s="44" t="s">
        <v>175</v>
      </c>
      <c r="F50" s="9" t="s">
        <v>57</v>
      </c>
      <c r="G50" s="113">
        <v>11</v>
      </c>
      <c r="H50" s="11">
        <v>0.5</v>
      </c>
      <c r="I50" s="12"/>
      <c r="J50" s="38" t="s">
        <v>256</v>
      </c>
      <c r="K50" s="39"/>
      <c r="L50" s="13"/>
      <c r="M50" s="13" t="s">
        <v>255</v>
      </c>
      <c r="N50" s="40"/>
      <c r="O50" s="37">
        <v>486</v>
      </c>
      <c r="P50" s="20">
        <v>1690</v>
      </c>
      <c r="Q50" s="21" t="s">
        <v>216</v>
      </c>
      <c r="R50" s="22"/>
      <c r="S50">
        <v>11</v>
      </c>
    </row>
    <row r="51" spans="2:19" ht="54.75" customHeight="1" x14ac:dyDescent="0.25">
      <c r="B51" s="5"/>
      <c r="C51" s="6">
        <v>45474</v>
      </c>
      <c r="D51" s="7" t="s">
        <v>193</v>
      </c>
      <c r="E51" s="94" t="s">
        <v>192</v>
      </c>
      <c r="F51" s="94" t="s">
        <v>192</v>
      </c>
      <c r="G51" s="113">
        <v>14</v>
      </c>
      <c r="H51" s="11" t="s">
        <v>279</v>
      </c>
      <c r="I51" s="12"/>
      <c r="J51" s="12"/>
      <c r="K51" s="12"/>
      <c r="L51" s="13"/>
      <c r="M51" s="13" t="s">
        <v>194</v>
      </c>
      <c r="N51" s="15"/>
      <c r="O51" s="17">
        <v>455</v>
      </c>
      <c r="P51" s="20">
        <v>2900</v>
      </c>
      <c r="Q51" s="21" t="s">
        <v>56</v>
      </c>
      <c r="R51" s="22"/>
      <c r="S51">
        <v>1</v>
      </c>
    </row>
    <row r="52" spans="2:19" ht="30" customHeight="1" x14ac:dyDescent="0.25">
      <c r="B52" s="5"/>
      <c r="C52" s="6">
        <v>45474</v>
      </c>
      <c r="D52" s="7" t="s">
        <v>212</v>
      </c>
      <c r="E52" s="56" t="s">
        <v>83</v>
      </c>
      <c r="F52" s="9" t="s">
        <v>78</v>
      </c>
      <c r="G52" s="113">
        <v>8</v>
      </c>
      <c r="H52" s="11">
        <v>0.41666666666666669</v>
      </c>
      <c r="I52" s="12"/>
      <c r="J52" s="28" t="s">
        <v>213</v>
      </c>
      <c r="K52" s="28"/>
      <c r="L52" s="30"/>
      <c r="M52" s="28" t="s">
        <v>214</v>
      </c>
      <c r="N52" s="40"/>
      <c r="O52" s="17">
        <v>479</v>
      </c>
      <c r="P52" s="26">
        <v>1690</v>
      </c>
      <c r="Q52" s="9" t="s">
        <v>187</v>
      </c>
      <c r="R52" s="22"/>
    </row>
    <row r="53" spans="2:19" x14ac:dyDescent="0.25">
      <c r="B53" s="5"/>
      <c r="C53" s="6">
        <v>45474</v>
      </c>
      <c r="D53" s="7" t="s">
        <v>173</v>
      </c>
      <c r="E53" s="56" t="s">
        <v>83</v>
      </c>
      <c r="F53" s="9" t="s">
        <v>78</v>
      </c>
      <c r="G53" s="113">
        <v>8</v>
      </c>
      <c r="H53" s="11">
        <v>0.41666666666666669</v>
      </c>
      <c r="I53" s="12"/>
      <c r="J53" s="28" t="s">
        <v>178</v>
      </c>
      <c r="K53" s="28"/>
      <c r="L53" s="30" t="s">
        <v>174</v>
      </c>
      <c r="M53" s="28" t="s">
        <v>179</v>
      </c>
      <c r="N53" s="40">
        <v>0.1</v>
      </c>
      <c r="O53" s="17">
        <v>443</v>
      </c>
      <c r="P53" s="26">
        <v>1520</v>
      </c>
      <c r="Q53" s="9" t="s">
        <v>56</v>
      </c>
      <c r="R53" s="22"/>
      <c r="S53">
        <v>26</v>
      </c>
    </row>
    <row r="54" spans="2:19" ht="30" x14ac:dyDescent="0.25">
      <c r="B54" s="5"/>
      <c r="C54" s="6">
        <v>45474</v>
      </c>
      <c r="D54" s="7" t="s">
        <v>152</v>
      </c>
      <c r="E54" s="56" t="s">
        <v>83</v>
      </c>
      <c r="F54" s="9" t="s">
        <v>78</v>
      </c>
      <c r="G54" s="113">
        <v>8</v>
      </c>
      <c r="H54" s="11">
        <v>0.41666666666666669</v>
      </c>
      <c r="I54" s="28"/>
      <c r="J54" s="29" t="s">
        <v>51</v>
      </c>
      <c r="K54" s="29" t="s">
        <v>51</v>
      </c>
      <c r="L54" s="29" t="s">
        <v>51</v>
      </c>
      <c r="M54" s="28" t="s">
        <v>52</v>
      </c>
      <c r="N54" s="23"/>
      <c r="O54" s="71">
        <v>494</v>
      </c>
      <c r="P54" s="18">
        <v>850</v>
      </c>
      <c r="Q54" s="9" t="s">
        <v>56</v>
      </c>
      <c r="R54" s="34"/>
      <c r="S54">
        <v>9</v>
      </c>
    </row>
    <row r="55" spans="2:19" x14ac:dyDescent="0.25">
      <c r="B55" s="5"/>
      <c r="C55" s="6">
        <v>45474</v>
      </c>
      <c r="D55" s="7" t="s">
        <v>257</v>
      </c>
      <c r="E55" s="56" t="s">
        <v>83</v>
      </c>
      <c r="F55" s="9" t="s">
        <v>78</v>
      </c>
      <c r="G55" s="10">
        <v>9</v>
      </c>
      <c r="H55" s="11">
        <v>0.41666666666666669</v>
      </c>
      <c r="I55" s="28"/>
      <c r="J55" s="65"/>
      <c r="K55" s="28" t="s">
        <v>332</v>
      </c>
      <c r="L55" s="28"/>
      <c r="M55" s="28"/>
      <c r="N55" s="41"/>
      <c r="O55" s="17">
        <v>487</v>
      </c>
      <c r="P55" s="20">
        <v>1690</v>
      </c>
      <c r="Q55" s="9" t="s">
        <v>56</v>
      </c>
      <c r="R55" s="22"/>
      <c r="S55">
        <v>12</v>
      </c>
    </row>
    <row r="56" spans="2:19" x14ac:dyDescent="0.25">
      <c r="B56" s="5"/>
      <c r="C56" s="6">
        <v>45474</v>
      </c>
      <c r="D56" s="7" t="s">
        <v>183</v>
      </c>
      <c r="E56" s="56" t="s">
        <v>83</v>
      </c>
      <c r="F56" s="9" t="s">
        <v>78</v>
      </c>
      <c r="G56" s="10">
        <v>15</v>
      </c>
      <c r="H56" s="11">
        <v>0.45833333333333331</v>
      </c>
      <c r="I56" s="12" t="s">
        <v>184</v>
      </c>
      <c r="J56" s="12" t="s">
        <v>185</v>
      </c>
      <c r="K56" s="12"/>
      <c r="L56" s="13"/>
      <c r="M56" s="13" t="s">
        <v>184</v>
      </c>
      <c r="N56" s="15"/>
      <c r="O56" s="17">
        <v>446</v>
      </c>
      <c r="P56" s="18">
        <v>1520</v>
      </c>
      <c r="Q56" s="21" t="s">
        <v>56</v>
      </c>
      <c r="R56" s="22"/>
      <c r="S56">
        <v>36</v>
      </c>
    </row>
    <row r="57" spans="2:19" x14ac:dyDescent="0.25">
      <c r="B57" s="5"/>
      <c r="C57" s="6">
        <v>45474</v>
      </c>
      <c r="D57" s="7" t="s">
        <v>207</v>
      </c>
      <c r="E57" s="56" t="s">
        <v>83</v>
      </c>
      <c r="F57" s="9" t="s">
        <v>78</v>
      </c>
      <c r="G57" s="10">
        <v>22</v>
      </c>
      <c r="H57" s="11">
        <v>0.45833333333333331</v>
      </c>
      <c r="I57" s="12" t="s">
        <v>208</v>
      </c>
      <c r="J57" s="28"/>
      <c r="K57" s="28"/>
      <c r="L57" s="30"/>
      <c r="M57" s="28"/>
      <c r="N57" s="40"/>
      <c r="O57" s="17">
        <v>478</v>
      </c>
      <c r="P57" s="26">
        <v>1690</v>
      </c>
      <c r="Q57" s="9" t="s">
        <v>187</v>
      </c>
      <c r="R57" s="22"/>
    </row>
    <row r="58" spans="2:19" x14ac:dyDescent="0.25">
      <c r="B58" s="5"/>
      <c r="C58" s="6">
        <v>45474</v>
      </c>
      <c r="D58" s="7" t="s">
        <v>273</v>
      </c>
      <c r="E58" s="56" t="s">
        <v>83</v>
      </c>
      <c r="F58" s="9" t="s">
        <v>78</v>
      </c>
      <c r="G58" s="10">
        <v>8</v>
      </c>
      <c r="H58" s="11">
        <v>0.5</v>
      </c>
      <c r="I58" s="12"/>
      <c r="J58" s="12"/>
      <c r="K58" s="12" t="s">
        <v>274</v>
      </c>
      <c r="L58" s="13"/>
      <c r="M58" s="13"/>
      <c r="N58" s="15"/>
      <c r="O58" s="17">
        <v>491</v>
      </c>
      <c r="P58" s="20">
        <v>1690</v>
      </c>
      <c r="Q58" s="21" t="s">
        <v>187</v>
      </c>
      <c r="R58" s="22"/>
      <c r="S58">
        <v>28</v>
      </c>
    </row>
    <row r="59" spans="2:19" x14ac:dyDescent="0.25">
      <c r="B59" s="5"/>
      <c r="C59" s="6">
        <v>45474</v>
      </c>
      <c r="D59" s="7" t="s">
        <v>263</v>
      </c>
      <c r="E59" s="56" t="s">
        <v>83</v>
      </c>
      <c r="F59" s="9" t="s">
        <v>78</v>
      </c>
      <c r="G59" s="10">
        <v>11</v>
      </c>
      <c r="H59" s="11">
        <v>0.5</v>
      </c>
      <c r="I59" s="12"/>
      <c r="J59" s="39" t="s">
        <v>265</v>
      </c>
      <c r="K59" s="39"/>
      <c r="L59" s="13"/>
      <c r="M59" s="13" t="s">
        <v>264</v>
      </c>
      <c r="N59" s="15"/>
      <c r="O59" s="17">
        <v>490</v>
      </c>
      <c r="P59" s="20">
        <v>1690</v>
      </c>
      <c r="Q59" s="9" t="s">
        <v>56</v>
      </c>
      <c r="R59" s="22"/>
      <c r="S59">
        <v>27</v>
      </c>
    </row>
    <row r="60" spans="2:19" ht="31.5" customHeight="1" x14ac:dyDescent="0.25">
      <c r="B60" s="5"/>
      <c r="C60" s="6">
        <v>45748</v>
      </c>
      <c r="D60" s="7"/>
      <c r="E60" s="8" t="s">
        <v>20</v>
      </c>
      <c r="F60" s="9" t="s">
        <v>23</v>
      </c>
      <c r="G60" s="10"/>
      <c r="H60" s="11"/>
      <c r="I60" s="28"/>
      <c r="J60" s="29"/>
      <c r="K60" s="29"/>
      <c r="L60" s="30"/>
      <c r="M60" s="30"/>
      <c r="N60" s="9"/>
      <c r="O60" s="17"/>
      <c r="P60" s="20"/>
      <c r="Q60" s="9"/>
      <c r="R60" s="22"/>
      <c r="S60">
        <v>6</v>
      </c>
    </row>
    <row r="61" spans="2:19" x14ac:dyDescent="0.25">
      <c r="B61" s="5"/>
      <c r="C61" s="6">
        <v>45748</v>
      </c>
      <c r="D61" s="7"/>
      <c r="E61" s="36" t="s">
        <v>259</v>
      </c>
      <c r="F61" s="9" t="s">
        <v>42</v>
      </c>
      <c r="G61" s="10"/>
      <c r="H61" s="11"/>
      <c r="I61" s="12"/>
      <c r="J61" s="12"/>
      <c r="K61" s="12"/>
      <c r="L61" s="13"/>
      <c r="M61" s="13"/>
      <c r="N61" s="15"/>
      <c r="O61" s="17"/>
      <c r="P61" s="20"/>
      <c r="Q61" s="107"/>
      <c r="R61" s="22"/>
      <c r="S61">
        <v>13</v>
      </c>
    </row>
    <row r="62" spans="2:19" ht="30" customHeight="1" x14ac:dyDescent="0.25">
      <c r="B62" s="5"/>
      <c r="C62" s="6">
        <v>45748</v>
      </c>
      <c r="D62" s="7"/>
      <c r="E62" s="36" t="s">
        <v>259</v>
      </c>
      <c r="F62" s="9" t="s">
        <v>42</v>
      </c>
      <c r="G62" s="113"/>
      <c r="H62" s="11"/>
      <c r="I62" s="28"/>
      <c r="J62" s="28"/>
      <c r="K62" s="28"/>
      <c r="L62" s="30"/>
      <c r="M62" s="30"/>
      <c r="N62" s="23"/>
      <c r="O62" s="42"/>
      <c r="P62" s="18"/>
      <c r="Q62" s="22"/>
      <c r="R62" s="33"/>
      <c r="S62">
        <v>14</v>
      </c>
    </row>
    <row r="63" spans="2:19" ht="24" customHeight="1" x14ac:dyDescent="0.25">
      <c r="B63" s="5"/>
      <c r="C63" s="6">
        <v>45748</v>
      </c>
      <c r="D63" s="7"/>
      <c r="E63" s="44" t="s">
        <v>175</v>
      </c>
      <c r="F63" s="9" t="s">
        <v>57</v>
      </c>
      <c r="G63" s="113"/>
      <c r="H63" s="11"/>
      <c r="I63" s="28"/>
      <c r="J63" s="29"/>
      <c r="K63" s="29"/>
      <c r="L63" s="28"/>
      <c r="M63" s="28"/>
      <c r="N63" s="9"/>
      <c r="O63" s="17"/>
      <c r="P63" s="20"/>
      <c r="Q63" s="21"/>
      <c r="R63" s="22"/>
      <c r="S63">
        <v>20</v>
      </c>
    </row>
    <row r="64" spans="2:19" ht="31.5" customHeight="1" x14ac:dyDescent="0.25">
      <c r="B64" s="5"/>
      <c r="C64" s="6">
        <v>45748</v>
      </c>
      <c r="D64" s="7"/>
      <c r="E64" s="44" t="s">
        <v>175</v>
      </c>
      <c r="F64" s="9" t="s">
        <v>57</v>
      </c>
      <c r="G64" s="113"/>
      <c r="H64" s="11"/>
      <c r="I64" s="28"/>
      <c r="J64" s="29"/>
      <c r="K64" s="29"/>
      <c r="L64" s="28"/>
      <c r="M64" s="28"/>
      <c r="N64" s="9"/>
      <c r="O64" s="17"/>
      <c r="P64" s="20"/>
      <c r="Q64" s="21"/>
      <c r="R64" s="22"/>
      <c r="S64">
        <v>21</v>
      </c>
    </row>
    <row r="65" spans="2:19" ht="33" customHeight="1" x14ac:dyDescent="0.25">
      <c r="B65" s="5"/>
      <c r="C65" s="6">
        <v>45748</v>
      </c>
      <c r="D65" s="7"/>
      <c r="E65" s="44" t="s">
        <v>175</v>
      </c>
      <c r="F65" s="9" t="s">
        <v>57</v>
      </c>
      <c r="G65" s="113"/>
      <c r="H65" s="11"/>
      <c r="I65" s="28"/>
      <c r="J65" s="29"/>
      <c r="K65" s="29"/>
      <c r="L65" s="30"/>
      <c r="M65" s="30"/>
      <c r="N65" s="41"/>
      <c r="O65" s="24"/>
      <c r="P65" s="20"/>
      <c r="Q65" s="9"/>
      <c r="R65" s="22"/>
      <c r="S65">
        <v>22</v>
      </c>
    </row>
    <row r="66" spans="2:19" ht="30.75" customHeight="1" x14ac:dyDescent="0.25">
      <c r="B66" s="5"/>
      <c r="C66" s="6"/>
      <c r="D66" s="7"/>
      <c r="E66" s="44" t="s">
        <v>175</v>
      </c>
      <c r="F66" s="9" t="s">
        <v>57</v>
      </c>
      <c r="G66" s="113"/>
      <c r="H66" s="11"/>
      <c r="I66" s="28"/>
      <c r="J66" s="29"/>
      <c r="K66" s="29"/>
      <c r="L66" s="30"/>
      <c r="M66" s="30"/>
      <c r="N66" s="41"/>
      <c r="O66" s="24"/>
      <c r="P66" s="20"/>
      <c r="Q66" s="9"/>
      <c r="R66" s="22"/>
      <c r="S66">
        <v>23</v>
      </c>
    </row>
    <row r="67" spans="2:19" x14ac:dyDescent="0.25">
      <c r="B67" s="5"/>
      <c r="C67" s="6"/>
      <c r="D67" s="7"/>
      <c r="E67" s="44" t="s">
        <v>175</v>
      </c>
      <c r="F67" s="9" t="s">
        <v>57</v>
      </c>
      <c r="G67" s="113"/>
      <c r="H67" s="11"/>
      <c r="I67" s="28"/>
      <c r="J67" s="29"/>
      <c r="K67" s="29"/>
      <c r="L67" s="30"/>
      <c r="M67" s="30"/>
      <c r="N67" s="41"/>
      <c r="O67" s="24"/>
      <c r="P67" s="20"/>
      <c r="Q67" s="9"/>
      <c r="R67" s="22"/>
      <c r="S67">
        <v>24</v>
      </c>
    </row>
    <row r="68" spans="2:19" x14ac:dyDescent="0.25">
      <c r="B68" s="5"/>
      <c r="C68" s="6"/>
      <c r="D68" s="7"/>
      <c r="E68" s="44" t="s">
        <v>175</v>
      </c>
      <c r="F68" s="9" t="s">
        <v>57</v>
      </c>
      <c r="G68" s="10"/>
      <c r="H68" s="11"/>
      <c r="I68" s="28"/>
      <c r="J68" s="29"/>
      <c r="K68" s="29"/>
      <c r="L68" s="30"/>
      <c r="M68" s="30"/>
      <c r="N68" s="41"/>
      <c r="O68" s="24"/>
      <c r="P68" s="20"/>
      <c r="Q68" s="9"/>
      <c r="R68" s="22"/>
      <c r="S68">
        <v>25</v>
      </c>
    </row>
    <row r="69" spans="2:19" x14ac:dyDescent="0.25">
      <c r="B69" s="5"/>
      <c r="C69" s="6"/>
      <c r="D69" s="7" t="s">
        <v>195</v>
      </c>
      <c r="E69" s="94" t="s">
        <v>192</v>
      </c>
      <c r="F69" s="94"/>
      <c r="G69" s="10">
        <v>33</v>
      </c>
      <c r="H69" s="11"/>
      <c r="I69" s="12" t="s">
        <v>196</v>
      </c>
      <c r="J69" s="12"/>
      <c r="K69" s="12"/>
      <c r="L69" s="13"/>
      <c r="M69" s="13"/>
      <c r="N69" s="15"/>
      <c r="O69" s="17"/>
      <c r="P69" s="20"/>
      <c r="Q69" s="21"/>
      <c r="R69" s="22"/>
      <c r="S69">
        <v>2</v>
      </c>
    </row>
    <row r="70" spans="2:19" x14ac:dyDescent="0.25">
      <c r="B70" s="5"/>
      <c r="C70" s="6"/>
      <c r="D70" s="7"/>
      <c r="E70" s="56" t="s">
        <v>83</v>
      </c>
      <c r="F70" s="9" t="s">
        <v>78</v>
      </c>
      <c r="G70" s="10"/>
      <c r="H70" s="11"/>
      <c r="I70" s="12"/>
      <c r="J70" s="39"/>
      <c r="K70" s="39"/>
      <c r="L70" s="13"/>
      <c r="M70" s="13"/>
      <c r="N70" s="15"/>
      <c r="O70" s="37"/>
      <c r="P70" s="20"/>
      <c r="Q70" s="57"/>
      <c r="R70" s="22"/>
      <c r="S70">
        <v>30</v>
      </c>
    </row>
    <row r="71" spans="2:19" x14ac:dyDescent="0.25">
      <c r="B71" s="5"/>
      <c r="C71" s="6"/>
      <c r="D71" s="7"/>
      <c r="E71" s="56" t="s">
        <v>83</v>
      </c>
      <c r="F71" s="9" t="s">
        <v>78</v>
      </c>
      <c r="G71" s="113"/>
      <c r="H71" s="11"/>
      <c r="I71" s="50"/>
      <c r="J71" s="12"/>
      <c r="K71" s="12"/>
      <c r="L71" s="13"/>
      <c r="M71" s="13"/>
      <c r="N71" s="15"/>
      <c r="O71" s="17"/>
      <c r="P71" s="20"/>
      <c r="Q71" s="21"/>
      <c r="R71" s="22"/>
      <c r="S71">
        <v>31</v>
      </c>
    </row>
    <row r="72" spans="2:19" ht="37.5" customHeight="1" x14ac:dyDescent="0.25">
      <c r="B72" s="5"/>
      <c r="C72" s="6"/>
      <c r="D72" s="7"/>
      <c r="E72" s="56" t="s">
        <v>83</v>
      </c>
      <c r="F72" s="9" t="s">
        <v>78</v>
      </c>
      <c r="G72" s="10"/>
      <c r="H72" s="11"/>
      <c r="I72" s="12"/>
      <c r="J72" s="12"/>
      <c r="K72" s="12"/>
      <c r="L72" s="30"/>
      <c r="M72" s="30"/>
      <c r="N72" s="15"/>
      <c r="O72" s="17"/>
      <c r="P72" s="20"/>
      <c r="Q72" s="21"/>
      <c r="R72" s="22"/>
      <c r="S72">
        <v>32</v>
      </c>
    </row>
    <row r="73" spans="2:19" ht="30.75" customHeight="1" x14ac:dyDescent="0.25">
      <c r="B73" s="5"/>
      <c r="C73" s="6"/>
      <c r="D73" s="7"/>
      <c r="E73" s="56" t="s">
        <v>83</v>
      </c>
      <c r="F73" s="9" t="s">
        <v>78</v>
      </c>
      <c r="G73" s="72"/>
      <c r="H73" s="11"/>
      <c r="I73" s="12"/>
      <c r="J73" s="12"/>
      <c r="K73" s="12"/>
      <c r="L73" s="13"/>
      <c r="M73" s="13"/>
      <c r="N73" s="15"/>
      <c r="O73" s="17"/>
      <c r="P73" s="20"/>
      <c r="Q73" s="21"/>
      <c r="R73" s="22"/>
      <c r="S73">
        <v>33</v>
      </c>
    </row>
    <row r="74" spans="2:19" x14ac:dyDescent="0.25">
      <c r="B74" s="5"/>
      <c r="C74" s="6"/>
      <c r="D74" s="7"/>
      <c r="E74" s="56" t="s">
        <v>83</v>
      </c>
      <c r="F74" s="9" t="s">
        <v>78</v>
      </c>
      <c r="G74" s="113"/>
      <c r="H74" s="11"/>
      <c r="I74" s="12"/>
      <c r="J74" s="12"/>
      <c r="K74" s="12"/>
      <c r="L74" s="28"/>
      <c r="M74" s="28"/>
      <c r="N74" s="15"/>
      <c r="O74" s="17"/>
      <c r="P74" s="20"/>
      <c r="Q74" s="21"/>
      <c r="R74" s="22"/>
      <c r="S74">
        <v>34</v>
      </c>
    </row>
    <row r="75" spans="2:19" ht="26.25" customHeight="1" x14ac:dyDescent="0.25">
      <c r="B75" s="5"/>
      <c r="C75" s="6"/>
      <c r="D75" s="7"/>
      <c r="E75" s="56" t="s">
        <v>83</v>
      </c>
      <c r="F75" s="9" t="s">
        <v>78</v>
      </c>
      <c r="G75" s="113"/>
      <c r="H75" s="11"/>
      <c r="I75" s="12"/>
      <c r="J75" s="12"/>
      <c r="K75" s="12"/>
      <c r="L75" s="13"/>
      <c r="M75" s="13"/>
      <c r="N75" s="15"/>
      <c r="O75" s="17"/>
      <c r="P75" s="20"/>
      <c r="Q75" s="21"/>
      <c r="R75" s="22"/>
      <c r="S75">
        <v>35</v>
      </c>
    </row>
    <row r="76" spans="2:19" x14ac:dyDescent="0.25">
      <c r="B76" s="5"/>
      <c r="C76" s="6"/>
      <c r="D76" s="68"/>
      <c r="E76" s="77" t="s">
        <v>115</v>
      </c>
      <c r="F76" s="9" t="s">
        <v>117</v>
      </c>
      <c r="G76" s="69"/>
      <c r="H76" s="70"/>
      <c r="I76" s="45"/>
      <c r="J76" s="50"/>
      <c r="K76" s="50"/>
      <c r="L76" s="51"/>
      <c r="M76" s="51"/>
      <c r="N76" s="23"/>
      <c r="O76" s="71"/>
      <c r="P76" s="73"/>
      <c r="Q76" s="32"/>
      <c r="R76" s="23"/>
      <c r="S76">
        <v>37</v>
      </c>
    </row>
    <row r="77" spans="2:19" x14ac:dyDescent="0.25">
      <c r="B77" s="5"/>
      <c r="C77" s="6"/>
      <c r="D77" s="68"/>
      <c r="E77" s="77" t="s">
        <v>115</v>
      </c>
      <c r="F77" s="9" t="s">
        <v>117</v>
      </c>
      <c r="G77" s="112"/>
      <c r="H77" s="74"/>
      <c r="I77" s="50"/>
      <c r="J77" s="50"/>
      <c r="K77" s="45"/>
      <c r="L77" s="51"/>
      <c r="M77" s="51"/>
      <c r="N77" s="23"/>
      <c r="O77" s="71"/>
      <c r="P77" s="73"/>
      <c r="Q77" s="32"/>
      <c r="R77" s="23"/>
      <c r="S77">
        <v>38</v>
      </c>
    </row>
    <row r="78" spans="2:19" x14ac:dyDescent="0.25">
      <c r="B78" s="5"/>
      <c r="C78" s="6"/>
      <c r="D78" s="68"/>
      <c r="E78" s="77" t="s">
        <v>115</v>
      </c>
      <c r="F78" s="9" t="s">
        <v>117</v>
      </c>
      <c r="G78" s="112"/>
      <c r="H78" s="70"/>
      <c r="I78" s="45"/>
      <c r="J78" s="50"/>
      <c r="K78" s="50"/>
      <c r="L78" s="51"/>
      <c r="M78" s="51"/>
      <c r="N78" s="23"/>
      <c r="O78" s="71"/>
      <c r="P78" s="73"/>
      <c r="Q78" s="32"/>
      <c r="R78" s="23"/>
      <c r="S78">
        <v>39</v>
      </c>
    </row>
    <row r="79" spans="2:19" x14ac:dyDescent="0.25">
      <c r="B79" s="5"/>
      <c r="C79" s="6"/>
      <c r="D79" s="7" t="s">
        <v>151</v>
      </c>
      <c r="E79" s="8"/>
      <c r="F79" s="9"/>
      <c r="G79" s="10">
        <v>9</v>
      </c>
      <c r="H79" s="11"/>
      <c r="I79" s="12"/>
      <c r="J79" s="12" t="s">
        <v>81</v>
      </c>
      <c r="K79" s="12"/>
      <c r="L79" s="27"/>
      <c r="M79" s="27"/>
      <c r="N79" s="31"/>
      <c r="O79" s="17"/>
      <c r="P79" s="18"/>
      <c r="Q79" s="9"/>
      <c r="R79" s="33"/>
      <c r="S79">
        <v>7</v>
      </c>
    </row>
    <row r="80" spans="2:19" ht="22.5" x14ac:dyDescent="0.25">
      <c r="B80" s="5"/>
      <c r="C80" s="6"/>
      <c r="D80" s="7" t="s">
        <v>154</v>
      </c>
      <c r="E80" s="8"/>
      <c r="F80" s="9"/>
      <c r="G80" s="113">
        <v>13</v>
      </c>
      <c r="H80" s="11"/>
      <c r="I80" s="28"/>
      <c r="J80" s="65" t="s">
        <v>46</v>
      </c>
      <c r="K80" s="65" t="s">
        <v>46</v>
      </c>
      <c r="L80" s="30"/>
      <c r="M80" s="28" t="s">
        <v>47</v>
      </c>
      <c r="N80" s="23"/>
      <c r="O80" s="17"/>
      <c r="P80" s="18"/>
      <c r="Q80" s="9"/>
      <c r="R80" s="34"/>
      <c r="S80">
        <v>8</v>
      </c>
    </row>
  </sheetData>
  <hyperlinks>
    <hyperlink ref="L53" r:id="rId1" xr:uid="{30BADB59-5084-4434-B267-0C2E69019D74}"/>
  </hyperlinks>
  <pageMargins left="0.7" right="0.7" top="0.75" bottom="0.75" header="0.3" footer="0.3"/>
  <pageSetup paperSize="9" orientation="portrait" r:id="rId2"/>
  <drawing r:id="rId3"/>
  <legacyDrawing r:id="rId4"/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E9B08-6ED9-4459-894F-0F5B7EF4FF8D}">
  <sheetPr codeName="Hoja7">
    <tabColor theme="7" tint="0.79998168889431442"/>
    <pageSetUpPr fitToPage="1"/>
  </sheetPr>
  <dimension ref="A1:G55"/>
  <sheetViews>
    <sheetView view="pageBreakPreview" zoomScaleNormal="85" zoomScaleSheetLayoutView="100" workbookViewId="0">
      <selection activeCell="B7" sqref="B7:G7"/>
    </sheetView>
  </sheetViews>
  <sheetFormatPr baseColWidth="10" defaultRowHeight="15" x14ac:dyDescent="0.25"/>
  <cols>
    <col min="1" max="1" width="3.85546875" customWidth="1"/>
    <col min="4" max="4" width="5.28515625" customWidth="1"/>
    <col min="5" max="5" width="7" customWidth="1"/>
    <col min="6" max="6" width="23.85546875" customWidth="1"/>
    <col min="7" max="7" width="27.140625" customWidth="1"/>
    <col min="8" max="8" width="19.42578125" customWidth="1"/>
  </cols>
  <sheetData>
    <row r="1" spans="1:7" x14ac:dyDescent="0.25">
      <c r="A1" t="s">
        <v>451</v>
      </c>
    </row>
    <row r="6" spans="1:7" ht="26.25" x14ac:dyDescent="0.4">
      <c r="B6" s="291" t="s">
        <v>624</v>
      </c>
      <c r="C6" s="291"/>
      <c r="D6" s="291"/>
      <c r="E6" s="291"/>
      <c r="F6" s="291"/>
      <c r="G6" s="291"/>
    </row>
    <row r="7" spans="1:7" ht="15.75" x14ac:dyDescent="0.25">
      <c r="B7" s="292"/>
      <c r="C7" s="292"/>
      <c r="D7" s="292"/>
      <c r="E7" s="292"/>
      <c r="F7" s="292"/>
      <c r="G7" s="292"/>
    </row>
    <row r="8" spans="1:7" x14ac:dyDescent="0.25">
      <c r="B8" s="80" t="s">
        <v>120</v>
      </c>
      <c r="C8" s="79"/>
      <c r="D8" s="79"/>
      <c r="E8" s="79"/>
      <c r="F8" s="79"/>
      <c r="G8" s="93" t="s">
        <v>121</v>
      </c>
    </row>
    <row r="9" spans="1:7" x14ac:dyDescent="0.25">
      <c r="B9" s="293"/>
      <c r="C9" s="294"/>
      <c r="D9" s="294"/>
      <c r="E9" s="294"/>
      <c r="F9" s="295"/>
      <c r="G9" s="84"/>
    </row>
    <row r="10" spans="1:7" x14ac:dyDescent="0.25">
      <c r="B10" t="s">
        <v>182</v>
      </c>
      <c r="F10" t="s">
        <v>124</v>
      </c>
      <c r="G10" t="s">
        <v>123</v>
      </c>
    </row>
    <row r="11" spans="1:7" x14ac:dyDescent="0.25">
      <c r="B11" s="289"/>
      <c r="C11" s="289"/>
      <c r="D11" s="81"/>
      <c r="E11" s="82"/>
      <c r="F11" s="83"/>
      <c r="G11" s="83"/>
    </row>
    <row r="12" spans="1:7" x14ac:dyDescent="0.25">
      <c r="B12" t="s">
        <v>125</v>
      </c>
      <c r="G12" t="s">
        <v>138</v>
      </c>
    </row>
    <row r="13" spans="1:7" x14ac:dyDescent="0.25">
      <c r="B13" s="293"/>
      <c r="C13" s="294"/>
      <c r="D13" s="294"/>
      <c r="E13" s="295"/>
      <c r="G13" s="84"/>
    </row>
    <row r="14" spans="1:7" x14ac:dyDescent="0.25">
      <c r="B14" t="s">
        <v>144</v>
      </c>
      <c r="G14" t="s">
        <v>421</v>
      </c>
    </row>
    <row r="15" spans="1:7" x14ac:dyDescent="0.25">
      <c r="B15" s="289"/>
      <c r="C15" s="289"/>
      <c r="D15" s="289"/>
      <c r="E15" s="289"/>
      <c r="F15" s="289"/>
      <c r="G15" s="84"/>
    </row>
    <row r="16" spans="1:7" x14ac:dyDescent="0.25">
      <c r="B16" s="289"/>
      <c r="C16" s="289"/>
      <c r="D16" s="289"/>
      <c r="E16" s="289"/>
      <c r="F16" s="289"/>
      <c r="G16" s="84"/>
    </row>
    <row r="17" spans="2:7" x14ac:dyDescent="0.25">
      <c r="B17" s="304" t="s">
        <v>398</v>
      </c>
      <c r="C17" s="304"/>
      <c r="D17" s="304"/>
      <c r="E17" s="304"/>
      <c r="F17" s="304"/>
      <c r="G17" s="304"/>
    </row>
    <row r="19" spans="2:7" ht="15.75" customHeight="1" x14ac:dyDescent="0.25">
      <c r="B19" s="303" t="s">
        <v>127</v>
      </c>
      <c r="C19" s="303"/>
      <c r="D19" s="303"/>
      <c r="E19" s="303"/>
      <c r="F19" s="303"/>
      <c r="G19" s="303"/>
    </row>
    <row r="20" spans="2:7" x14ac:dyDescent="0.25">
      <c r="B20" s="290" t="s">
        <v>139</v>
      </c>
      <c r="C20" s="290"/>
      <c r="F20" t="s">
        <v>134</v>
      </c>
      <c r="G20" t="s">
        <v>137</v>
      </c>
    </row>
    <row r="21" spans="2:7" x14ac:dyDescent="0.25">
      <c r="B21" t="s">
        <v>128</v>
      </c>
      <c r="C21" t="s">
        <v>131</v>
      </c>
      <c r="D21" s="290"/>
      <c r="E21" s="290"/>
      <c r="F21" t="s">
        <v>135</v>
      </c>
      <c r="G21" s="84"/>
    </row>
    <row r="22" spans="2:7" x14ac:dyDescent="0.25">
      <c r="B22" t="s">
        <v>129</v>
      </c>
      <c r="C22" t="s">
        <v>132</v>
      </c>
      <c r="F22" t="s">
        <v>136</v>
      </c>
    </row>
    <row r="23" spans="2:7" x14ac:dyDescent="0.25">
      <c r="B23" t="s">
        <v>130</v>
      </c>
      <c r="C23" t="s">
        <v>430</v>
      </c>
    </row>
    <row r="24" spans="2:7" x14ac:dyDescent="0.25">
      <c r="B24" t="s">
        <v>190</v>
      </c>
      <c r="F24" t="s">
        <v>140</v>
      </c>
    </row>
    <row r="25" spans="2:7" x14ac:dyDescent="0.25">
      <c r="B25" s="289"/>
      <c r="C25" s="289"/>
      <c r="F25" s="299"/>
      <c r="G25" s="300"/>
    </row>
    <row r="26" spans="2:7" x14ac:dyDescent="0.25">
      <c r="F26" s="301"/>
      <c r="G26" s="302"/>
    </row>
    <row r="27" spans="2:7" x14ac:dyDescent="0.25">
      <c r="B27" s="303" t="s">
        <v>24</v>
      </c>
      <c r="C27" s="303"/>
      <c r="D27" s="303"/>
      <c r="E27" s="303"/>
      <c r="F27" s="303"/>
      <c r="G27" s="303"/>
    </row>
    <row r="28" spans="2:7" x14ac:dyDescent="0.25">
      <c r="B28" t="s">
        <v>133</v>
      </c>
      <c r="C28" t="s">
        <v>142</v>
      </c>
      <c r="F28" t="s">
        <v>141</v>
      </c>
      <c r="G28" t="s">
        <v>143</v>
      </c>
    </row>
    <row r="29" spans="2:7" x14ac:dyDescent="0.25">
      <c r="B29" s="84"/>
      <c r="C29" s="84"/>
      <c r="F29" s="85"/>
      <c r="G29" s="289"/>
    </row>
    <row r="30" spans="2:7" x14ac:dyDescent="0.25">
      <c r="G30" s="305"/>
    </row>
    <row r="31" spans="2:7" ht="26.25" x14ac:dyDescent="0.4">
      <c r="B31" s="291" t="str">
        <f>B6</f>
        <v>Curso Regular Registro Marzo</v>
      </c>
      <c r="C31" s="291"/>
      <c r="D31" s="291"/>
      <c r="E31" s="291"/>
      <c r="F31" s="291"/>
      <c r="G31" s="291"/>
    </row>
    <row r="32" spans="2:7" ht="15.75" x14ac:dyDescent="0.25">
      <c r="B32" s="292" t="s">
        <v>122</v>
      </c>
      <c r="C32" s="292"/>
      <c r="D32" s="292"/>
      <c r="E32" s="292"/>
      <c r="F32" s="292"/>
      <c r="G32" s="292"/>
    </row>
    <row r="33" spans="2:7" x14ac:dyDescent="0.25">
      <c r="B33" s="80" t="s">
        <v>120</v>
      </c>
      <c r="C33" s="79"/>
      <c r="D33" s="79"/>
      <c r="E33" s="79"/>
      <c r="F33" s="79"/>
      <c r="G33" s="93" t="s">
        <v>121</v>
      </c>
    </row>
    <row r="34" spans="2:7" x14ac:dyDescent="0.25">
      <c r="B34" s="293"/>
      <c r="C34" s="294"/>
      <c r="D34" s="294"/>
      <c r="E34" s="294"/>
      <c r="F34" s="295"/>
      <c r="G34" s="84"/>
    </row>
    <row r="35" spans="2:7" x14ac:dyDescent="0.25">
      <c r="B35" t="s">
        <v>182</v>
      </c>
      <c r="F35" t="s">
        <v>124</v>
      </c>
      <c r="G35" t="s">
        <v>123</v>
      </c>
    </row>
    <row r="36" spans="2:7" x14ac:dyDescent="0.25">
      <c r="B36" s="289"/>
      <c r="C36" s="289"/>
      <c r="D36" s="81"/>
      <c r="E36" s="82"/>
      <c r="F36" s="83"/>
      <c r="G36" s="83"/>
    </row>
    <row r="37" spans="2:7" x14ac:dyDescent="0.25">
      <c r="B37" t="s">
        <v>125</v>
      </c>
      <c r="G37" t="s">
        <v>138</v>
      </c>
    </row>
    <row r="38" spans="2:7" x14ac:dyDescent="0.25">
      <c r="B38" s="293"/>
      <c r="C38" s="294"/>
      <c r="D38" s="294"/>
      <c r="E38" s="295"/>
      <c r="G38" s="84"/>
    </row>
    <row r="39" spans="2:7" x14ac:dyDescent="0.25">
      <c r="B39" t="s">
        <v>144</v>
      </c>
      <c r="G39" t="s">
        <v>421</v>
      </c>
    </row>
    <row r="40" spans="2:7" x14ac:dyDescent="0.25">
      <c r="B40" s="289"/>
      <c r="C40" s="289"/>
      <c r="D40" s="289"/>
      <c r="E40" s="289"/>
      <c r="F40" s="289"/>
      <c r="G40" s="84"/>
    </row>
    <row r="41" spans="2:7" x14ac:dyDescent="0.25">
      <c r="B41" s="289"/>
      <c r="C41" s="289"/>
      <c r="D41" s="289"/>
      <c r="E41" s="289"/>
      <c r="F41" s="289"/>
      <c r="G41" s="84"/>
    </row>
    <row r="42" spans="2:7" x14ac:dyDescent="0.25">
      <c r="B42" s="304" t="s">
        <v>398</v>
      </c>
      <c r="C42" s="304"/>
      <c r="D42" s="304"/>
      <c r="E42" s="304"/>
      <c r="F42" s="304"/>
      <c r="G42" s="304"/>
    </row>
    <row r="44" spans="2:7" x14ac:dyDescent="0.25">
      <c r="B44" s="296" t="s">
        <v>127</v>
      </c>
      <c r="C44" s="297"/>
      <c r="D44" s="297"/>
      <c r="E44" s="297"/>
      <c r="F44" s="297"/>
      <c r="G44" s="298"/>
    </row>
    <row r="45" spans="2:7" x14ac:dyDescent="0.25">
      <c r="B45" s="290" t="s">
        <v>139</v>
      </c>
      <c r="C45" s="290"/>
      <c r="F45" t="s">
        <v>134</v>
      </c>
      <c r="G45" t="s">
        <v>137</v>
      </c>
    </row>
    <row r="46" spans="2:7" x14ac:dyDescent="0.25">
      <c r="B46" t="s">
        <v>128</v>
      </c>
      <c r="C46" t="s">
        <v>131</v>
      </c>
      <c r="D46" s="290"/>
      <c r="E46" s="290"/>
      <c r="F46" t="s">
        <v>135</v>
      </c>
      <c r="G46" s="84"/>
    </row>
    <row r="47" spans="2:7" x14ac:dyDescent="0.25">
      <c r="B47" t="s">
        <v>129</v>
      </c>
      <c r="C47" t="s">
        <v>132</v>
      </c>
      <c r="F47" t="s">
        <v>136</v>
      </c>
    </row>
    <row r="48" spans="2:7" x14ac:dyDescent="0.25">
      <c r="B48" t="s">
        <v>130</v>
      </c>
      <c r="C48" t="s">
        <v>430</v>
      </c>
    </row>
    <row r="49" spans="2:7" x14ac:dyDescent="0.25">
      <c r="B49" t="s">
        <v>190</v>
      </c>
      <c r="F49" t="s">
        <v>140</v>
      </c>
    </row>
    <row r="50" spans="2:7" x14ac:dyDescent="0.25">
      <c r="B50" s="289"/>
      <c r="C50" s="289"/>
      <c r="F50" s="299"/>
      <c r="G50" s="300"/>
    </row>
    <row r="51" spans="2:7" x14ac:dyDescent="0.25">
      <c r="F51" s="301"/>
      <c r="G51" s="302"/>
    </row>
    <row r="52" spans="2:7" x14ac:dyDescent="0.25">
      <c r="B52" s="303" t="s">
        <v>24</v>
      </c>
      <c r="C52" s="303"/>
      <c r="D52" s="303"/>
      <c r="E52" s="303"/>
      <c r="F52" s="303"/>
      <c r="G52" s="303"/>
    </row>
    <row r="53" spans="2:7" x14ac:dyDescent="0.25">
      <c r="B53" t="s">
        <v>133</v>
      </c>
      <c r="C53" t="s">
        <v>142</v>
      </c>
      <c r="F53" t="s">
        <v>141</v>
      </c>
      <c r="G53" t="s">
        <v>143</v>
      </c>
    </row>
    <row r="54" spans="2:7" x14ac:dyDescent="0.25">
      <c r="B54" s="84"/>
      <c r="C54" s="84"/>
      <c r="F54" s="85"/>
      <c r="G54" s="289"/>
    </row>
    <row r="55" spans="2:7" x14ac:dyDescent="0.25">
      <c r="G55" s="289"/>
    </row>
  </sheetData>
  <mergeCells count="30">
    <mergeCell ref="G29:G30"/>
    <mergeCell ref="D21:E21"/>
    <mergeCell ref="B25:C25"/>
    <mergeCell ref="B6:G6"/>
    <mergeCell ref="B7:G7"/>
    <mergeCell ref="B9:F9"/>
    <mergeCell ref="B11:C11"/>
    <mergeCell ref="B13:E13"/>
    <mergeCell ref="B15:F15"/>
    <mergeCell ref="B16:F16"/>
    <mergeCell ref="B19:G19"/>
    <mergeCell ref="B20:C20"/>
    <mergeCell ref="F25:G26"/>
    <mergeCell ref="B27:G27"/>
    <mergeCell ref="B17:G17"/>
    <mergeCell ref="G54:G55"/>
    <mergeCell ref="D46:E46"/>
    <mergeCell ref="B50:C50"/>
    <mergeCell ref="B31:G31"/>
    <mergeCell ref="B32:G32"/>
    <mergeCell ref="B34:F34"/>
    <mergeCell ref="B36:C36"/>
    <mergeCell ref="B38:E38"/>
    <mergeCell ref="B40:F40"/>
    <mergeCell ref="B41:F41"/>
    <mergeCell ref="B44:G44"/>
    <mergeCell ref="B45:C45"/>
    <mergeCell ref="F50:G51"/>
    <mergeCell ref="B52:G52"/>
    <mergeCell ref="B42:G42"/>
  </mergeCells>
  <pageMargins left="0.7" right="0.7" top="0.75" bottom="0.75" header="0.3" footer="0.3"/>
  <pageSetup paperSize="9" scale="8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1EDCE-2431-4448-BA61-E5DF42CE4401}">
  <sheetPr codeName="Hoja8">
    <tabColor theme="7" tint="0.79998168889431442"/>
    <pageSetUpPr fitToPage="1"/>
  </sheetPr>
  <dimension ref="A5:F52"/>
  <sheetViews>
    <sheetView view="pageBreakPreview" zoomScaleNormal="85" zoomScaleSheetLayoutView="100" workbookViewId="0">
      <selection activeCell="E23" sqref="E23:F24"/>
    </sheetView>
  </sheetViews>
  <sheetFormatPr baseColWidth="10" defaultRowHeight="15" x14ac:dyDescent="0.25"/>
  <cols>
    <col min="3" max="3" width="5.28515625" customWidth="1"/>
    <col min="4" max="4" width="7" customWidth="1"/>
    <col min="5" max="5" width="23.85546875" customWidth="1"/>
    <col min="6" max="6" width="27.140625" customWidth="1"/>
    <col min="7" max="7" width="19.42578125" customWidth="1"/>
  </cols>
  <sheetData>
    <row r="5" spans="1:6" ht="26.25" x14ac:dyDescent="0.4">
      <c r="A5" s="291" t="s">
        <v>503</v>
      </c>
      <c r="B5" s="291"/>
      <c r="C5" s="291"/>
      <c r="D5" s="291"/>
      <c r="E5" s="291"/>
      <c r="F5" s="291"/>
    </row>
    <row r="6" spans="1:6" ht="15.75" x14ac:dyDescent="0.25">
      <c r="A6" s="292" t="s">
        <v>122</v>
      </c>
      <c r="B6" s="292"/>
      <c r="C6" s="292"/>
      <c r="D6" s="292"/>
      <c r="E6" s="292"/>
      <c r="F6" s="292"/>
    </row>
    <row r="7" spans="1:6" x14ac:dyDescent="0.25">
      <c r="A7" s="80" t="s">
        <v>120</v>
      </c>
      <c r="B7" s="79"/>
      <c r="C7" s="79"/>
      <c r="D7" s="79"/>
      <c r="E7" s="79"/>
      <c r="F7" s="66" t="s">
        <v>121</v>
      </c>
    </row>
    <row r="8" spans="1:6" x14ac:dyDescent="0.25">
      <c r="A8" s="293"/>
      <c r="B8" s="294"/>
      <c r="C8" s="294"/>
      <c r="D8" s="294"/>
      <c r="E8" s="295"/>
      <c r="F8" s="84"/>
    </row>
    <row r="9" spans="1:6" x14ac:dyDescent="0.25">
      <c r="A9" t="s">
        <v>182</v>
      </c>
      <c r="E9" t="s">
        <v>124</v>
      </c>
      <c r="F9" t="s">
        <v>123</v>
      </c>
    </row>
    <row r="10" spans="1:6" x14ac:dyDescent="0.25">
      <c r="A10" s="289"/>
      <c r="B10" s="289"/>
      <c r="C10" s="81"/>
      <c r="D10" s="82"/>
      <c r="E10" s="83"/>
      <c r="F10" s="83"/>
    </row>
    <row r="11" spans="1:6" x14ac:dyDescent="0.25">
      <c r="A11" t="s">
        <v>125</v>
      </c>
      <c r="F11" t="s">
        <v>138</v>
      </c>
    </row>
    <row r="12" spans="1:6" x14ac:dyDescent="0.25">
      <c r="A12" s="293"/>
      <c r="B12" s="294"/>
      <c r="C12" s="294"/>
      <c r="D12" s="295"/>
      <c r="F12" s="84"/>
    </row>
    <row r="13" spans="1:6" x14ac:dyDescent="0.25">
      <c r="A13" t="s">
        <v>144</v>
      </c>
      <c r="F13" t="s">
        <v>126</v>
      </c>
    </row>
    <row r="14" spans="1:6" x14ac:dyDescent="0.25">
      <c r="A14" s="289"/>
      <c r="B14" s="289"/>
      <c r="C14" s="289"/>
      <c r="D14" s="289"/>
      <c r="E14" s="289"/>
      <c r="F14" s="84"/>
    </row>
    <row r="15" spans="1:6" x14ac:dyDescent="0.25">
      <c r="A15" s="289"/>
      <c r="B15" s="289"/>
      <c r="C15" s="289"/>
      <c r="D15" s="289"/>
      <c r="E15" s="289"/>
      <c r="F15" s="84"/>
    </row>
    <row r="17" spans="1:6" ht="15.75" customHeight="1" x14ac:dyDescent="0.25">
      <c r="A17" s="303" t="s">
        <v>127</v>
      </c>
      <c r="B17" s="303"/>
      <c r="C17" s="303"/>
      <c r="D17" s="303"/>
      <c r="E17" s="303"/>
      <c r="F17" s="303"/>
    </row>
    <row r="18" spans="1:6" x14ac:dyDescent="0.25">
      <c r="A18" s="290" t="s">
        <v>139</v>
      </c>
      <c r="B18" s="290"/>
      <c r="E18" t="s">
        <v>134</v>
      </c>
      <c r="F18" t="s">
        <v>137</v>
      </c>
    </row>
    <row r="19" spans="1:6" x14ac:dyDescent="0.25">
      <c r="A19" t="s">
        <v>128</v>
      </c>
      <c r="B19" t="s">
        <v>131</v>
      </c>
      <c r="E19" t="s">
        <v>135</v>
      </c>
      <c r="F19" s="84"/>
    </row>
    <row r="20" spans="1:6" x14ac:dyDescent="0.25">
      <c r="A20" t="s">
        <v>129</v>
      </c>
      <c r="B20" t="s">
        <v>132</v>
      </c>
      <c r="E20" t="s">
        <v>136</v>
      </c>
    </row>
    <row r="21" spans="1:6" x14ac:dyDescent="0.25">
      <c r="A21" t="s">
        <v>130</v>
      </c>
    </row>
    <row r="22" spans="1:6" x14ac:dyDescent="0.25">
      <c r="E22" t="s">
        <v>140</v>
      </c>
    </row>
    <row r="23" spans="1:6" x14ac:dyDescent="0.25">
      <c r="E23" s="299"/>
      <c r="F23" s="300"/>
    </row>
    <row r="24" spans="1:6" x14ac:dyDescent="0.25">
      <c r="E24" s="301"/>
      <c r="F24" s="302"/>
    </row>
    <row r="25" spans="1:6" x14ac:dyDescent="0.25">
      <c r="A25" s="303" t="s">
        <v>24</v>
      </c>
      <c r="B25" s="303"/>
      <c r="C25" s="303"/>
      <c r="D25" s="303"/>
      <c r="E25" s="303"/>
      <c r="F25" s="303"/>
    </row>
    <row r="26" spans="1:6" x14ac:dyDescent="0.25">
      <c r="A26" t="s">
        <v>133</v>
      </c>
      <c r="B26" t="s">
        <v>142</v>
      </c>
      <c r="E26" t="s">
        <v>141</v>
      </c>
      <c r="F26" t="s">
        <v>143</v>
      </c>
    </row>
    <row r="27" spans="1:6" x14ac:dyDescent="0.25">
      <c r="A27" s="84"/>
      <c r="B27" s="84"/>
      <c r="E27" s="85"/>
      <c r="F27" s="289"/>
    </row>
    <row r="28" spans="1:6" x14ac:dyDescent="0.25">
      <c r="F28" s="305"/>
    </row>
    <row r="29" spans="1:6" ht="26.25" x14ac:dyDescent="0.4">
      <c r="A29" s="291" t="str">
        <f>A5</f>
        <v>Cursos de Primavera 2025 Registro</v>
      </c>
      <c r="B29" s="291"/>
      <c r="C29" s="291"/>
      <c r="D29" s="291"/>
      <c r="E29" s="291"/>
      <c r="F29" s="291"/>
    </row>
    <row r="30" spans="1:6" ht="15.75" x14ac:dyDescent="0.25">
      <c r="A30" s="292" t="s">
        <v>122</v>
      </c>
      <c r="B30" s="292"/>
      <c r="C30" s="292"/>
      <c r="D30" s="292"/>
      <c r="E30" s="292"/>
      <c r="F30" s="292"/>
    </row>
    <row r="31" spans="1:6" x14ac:dyDescent="0.25">
      <c r="A31" s="80" t="s">
        <v>120</v>
      </c>
      <c r="B31" s="79"/>
      <c r="C31" s="79"/>
      <c r="D31" s="79"/>
      <c r="E31" s="79"/>
      <c r="F31" s="66" t="s">
        <v>121</v>
      </c>
    </row>
    <row r="32" spans="1:6" x14ac:dyDescent="0.25">
      <c r="A32" s="293"/>
      <c r="B32" s="294"/>
      <c r="C32" s="294"/>
      <c r="D32" s="294"/>
      <c r="E32" s="295"/>
      <c r="F32" s="84"/>
    </row>
    <row r="33" spans="1:6" x14ac:dyDescent="0.25">
      <c r="A33" t="s">
        <v>182</v>
      </c>
      <c r="E33" t="s">
        <v>124</v>
      </c>
      <c r="F33" t="s">
        <v>123</v>
      </c>
    </row>
    <row r="34" spans="1:6" x14ac:dyDescent="0.25">
      <c r="A34" s="289"/>
      <c r="B34" s="289"/>
      <c r="C34" s="81"/>
      <c r="D34" s="82"/>
      <c r="E34" s="83"/>
      <c r="F34" s="83"/>
    </row>
    <row r="35" spans="1:6" x14ac:dyDescent="0.25">
      <c r="A35" t="s">
        <v>125</v>
      </c>
      <c r="F35" t="s">
        <v>138</v>
      </c>
    </row>
    <row r="36" spans="1:6" x14ac:dyDescent="0.25">
      <c r="A36" s="293"/>
      <c r="B36" s="294"/>
      <c r="C36" s="294"/>
      <c r="D36" s="295"/>
      <c r="F36" s="84"/>
    </row>
    <row r="37" spans="1:6" x14ac:dyDescent="0.25">
      <c r="A37" t="s">
        <v>144</v>
      </c>
      <c r="F37" t="s">
        <v>126</v>
      </c>
    </row>
    <row r="38" spans="1:6" x14ac:dyDescent="0.25">
      <c r="A38" s="289"/>
      <c r="B38" s="289"/>
      <c r="C38" s="289"/>
      <c r="D38" s="289"/>
      <c r="E38" s="289"/>
      <c r="F38" s="84"/>
    </row>
    <row r="39" spans="1:6" x14ac:dyDescent="0.25">
      <c r="A39" s="289"/>
      <c r="B39" s="289"/>
      <c r="C39" s="289"/>
      <c r="D39" s="289"/>
      <c r="E39" s="289"/>
      <c r="F39" s="84"/>
    </row>
    <row r="41" spans="1:6" x14ac:dyDescent="0.25">
      <c r="A41" s="303" t="s">
        <v>127</v>
      </c>
      <c r="B41" s="303"/>
      <c r="C41" s="303"/>
      <c r="D41" s="303"/>
      <c r="E41" s="303"/>
      <c r="F41" s="303"/>
    </row>
    <row r="42" spans="1:6" x14ac:dyDescent="0.25">
      <c r="A42" s="290" t="s">
        <v>139</v>
      </c>
      <c r="B42" s="290"/>
      <c r="E42" t="s">
        <v>134</v>
      </c>
      <c r="F42" t="s">
        <v>137</v>
      </c>
    </row>
    <row r="43" spans="1:6" x14ac:dyDescent="0.25">
      <c r="A43" t="s">
        <v>128</v>
      </c>
      <c r="B43" t="s">
        <v>131</v>
      </c>
      <c r="E43" t="s">
        <v>135</v>
      </c>
      <c r="F43" s="84"/>
    </row>
    <row r="44" spans="1:6" x14ac:dyDescent="0.25">
      <c r="A44" t="s">
        <v>129</v>
      </c>
      <c r="B44" t="s">
        <v>132</v>
      </c>
      <c r="E44" t="s">
        <v>136</v>
      </c>
    </row>
    <row r="45" spans="1:6" x14ac:dyDescent="0.25">
      <c r="A45" t="s">
        <v>130</v>
      </c>
    </row>
    <row r="46" spans="1:6" x14ac:dyDescent="0.25">
      <c r="A46" t="s">
        <v>118</v>
      </c>
      <c r="E46" t="s">
        <v>140</v>
      </c>
    </row>
    <row r="47" spans="1:6" x14ac:dyDescent="0.25">
      <c r="E47" s="299"/>
      <c r="F47" s="300"/>
    </row>
    <row r="48" spans="1:6" x14ac:dyDescent="0.25">
      <c r="E48" s="301"/>
      <c r="F48" s="302"/>
    </row>
    <row r="49" spans="1:6" x14ac:dyDescent="0.25">
      <c r="A49" s="303" t="s">
        <v>24</v>
      </c>
      <c r="B49" s="303"/>
      <c r="C49" s="303"/>
      <c r="D49" s="303"/>
      <c r="E49" s="303"/>
      <c r="F49" s="303"/>
    </row>
    <row r="50" spans="1:6" x14ac:dyDescent="0.25">
      <c r="A50" t="s">
        <v>133</v>
      </c>
      <c r="B50" t="s">
        <v>142</v>
      </c>
      <c r="E50" t="s">
        <v>141</v>
      </c>
      <c r="F50" t="s">
        <v>143</v>
      </c>
    </row>
    <row r="51" spans="1:6" x14ac:dyDescent="0.25">
      <c r="A51" s="84"/>
      <c r="B51" s="84"/>
      <c r="E51" s="85"/>
      <c r="F51" s="289"/>
    </row>
    <row r="52" spans="1:6" x14ac:dyDescent="0.25">
      <c r="F52" s="289"/>
    </row>
  </sheetData>
  <mergeCells count="24">
    <mergeCell ref="A41:F41"/>
    <mergeCell ref="A42:B42"/>
    <mergeCell ref="E47:F48"/>
    <mergeCell ref="A49:F49"/>
    <mergeCell ref="F51:F52"/>
    <mergeCell ref="A39:E39"/>
    <mergeCell ref="A17:F17"/>
    <mergeCell ref="A18:B18"/>
    <mergeCell ref="E23:F24"/>
    <mergeCell ref="A25:F25"/>
    <mergeCell ref="F27:F28"/>
    <mergeCell ref="A29:F29"/>
    <mergeCell ref="A30:F30"/>
    <mergeCell ref="A32:E32"/>
    <mergeCell ref="A34:B34"/>
    <mergeCell ref="A36:D36"/>
    <mergeCell ref="A38:E38"/>
    <mergeCell ref="A12:D12"/>
    <mergeCell ref="A14:E14"/>
    <mergeCell ref="A15:E15"/>
    <mergeCell ref="A5:F5"/>
    <mergeCell ref="A6:F6"/>
    <mergeCell ref="A8:E8"/>
    <mergeCell ref="A10:B10"/>
  </mergeCells>
  <pageMargins left="0.7" right="0.7" top="0.75" bottom="0.75" header="0.3" footer="0.3"/>
  <pageSetup paperSize="9" scale="95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36B12F-99BF-4DD1-93F2-F36EE3926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DevelupeMode</vt:lpstr>
      <vt:lpstr>Tradicional</vt:lpstr>
      <vt:lpstr>Hoja1</vt:lpstr>
      <vt:lpstr>Report</vt:lpstr>
      <vt:lpstr>Verano HO</vt:lpstr>
      <vt:lpstr>Cursos</vt:lpstr>
      <vt:lpstr>Curso Regular</vt:lpstr>
      <vt:lpstr>Curso Verano</vt:lpstr>
      <vt:lpstr>Report!Área_de_impresión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Instituto Musical Aguascalientes</dc:creator>
  <cp:lastModifiedBy>Instituto Musical Aguascalientes</cp:lastModifiedBy>
  <cp:lastPrinted>2026-03-14T18:26:42Z</cp:lastPrinted>
  <dcterms:created xsi:type="dcterms:W3CDTF">2024-05-28T00:44:34Z</dcterms:created>
  <dcterms:modified xsi:type="dcterms:W3CDTF">2026-03-27T22:37:39Z</dcterms:modified>
</cp:coreProperties>
</file>